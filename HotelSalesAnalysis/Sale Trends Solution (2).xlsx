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family/Desktop/BCOMINFOSYSTEMS/CO-OP Applications/GITHUB/"/>
    </mc:Choice>
  </mc:AlternateContent>
  <xr:revisionPtr revIDLastSave="0" documentId="13_ncr:1_{803A4D2D-972C-B144-BE6E-71C6374B2B56}" xr6:coauthVersionLast="47" xr6:coauthVersionMax="47" xr10:uidLastSave="{00000000-0000-0000-0000-000000000000}"/>
  <bookViews>
    <workbookView xWindow="0" yWindow="760" windowWidth="28800" windowHeight="16020" activeTab="3" xr2:uid="{624C89E2-3107-4240-97B8-18360528BFD7}"/>
  </bookViews>
  <sheets>
    <sheet name="Welcome" sheetId="11" r:id="rId1"/>
    <sheet name="Five Year data" sheetId="12" r:id="rId2"/>
    <sheet name="Ontario" sheetId="13" r:id="rId3"/>
    <sheet name="Provincial Trend" sheetId="30" r:id="rId4"/>
  </sheets>
  <definedNames>
    <definedName name="_xlnm._FilterDatabase" localSheetId="2" hidden="1">Ontario!$A$1:$E$13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60" i="12" l="1"/>
  <c r="C59" i="12"/>
  <c r="C58" i="12"/>
  <c r="C57" i="12"/>
  <c r="C56" i="12"/>
  <c r="C55" i="12"/>
  <c r="C54" i="12"/>
  <c r="C53" i="12"/>
  <c r="C52" i="12"/>
  <c r="C51" i="12"/>
  <c r="C50" i="12"/>
  <c r="C49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26" i="12"/>
  <c r="C30" i="12"/>
  <c r="C29" i="12"/>
  <c r="C28" i="12"/>
  <c r="C27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4" i="12"/>
  <c r="C2" i="12"/>
  <c r="C8" i="12"/>
  <c r="C7" i="12"/>
  <c r="C6" i="12"/>
  <c r="C5" i="12"/>
  <c r="C3" i="12"/>
  <c r="D2" i="13" a="1"/>
  <c r="D2" i="13" s="1"/>
  <c r="C2" i="13" a="1"/>
  <c r="C2" i="13" s="1"/>
  <c r="A2" i="13" a="1"/>
  <c r="A2" i="13" s="1"/>
  <c r="C61" i="12"/>
  <c r="B2" i="13" s="1" a="1"/>
  <c r="B2" i="13" s="1"/>
  <c r="A2" i="30" s="1" a="1"/>
  <c r="A2" i="30" s="1"/>
  <c r="E58" i="13" l="1"/>
  <c r="E54" i="13"/>
  <c r="E50" i="13"/>
  <c r="E46" i="13"/>
  <c r="E42" i="13"/>
  <c r="E38" i="13"/>
  <c r="E34" i="13"/>
  <c r="E30" i="13"/>
  <c r="E26" i="13"/>
  <c r="E22" i="13"/>
  <c r="E18" i="13"/>
  <c r="E14" i="13"/>
  <c r="E10" i="13"/>
  <c r="E6" i="13"/>
  <c r="E61" i="13"/>
  <c r="E57" i="13"/>
  <c r="E53" i="13"/>
  <c r="E49" i="13"/>
  <c r="E45" i="13"/>
  <c r="E41" i="13"/>
  <c r="E37" i="13"/>
  <c r="E33" i="13"/>
  <c r="E29" i="13"/>
  <c r="E25" i="13"/>
  <c r="E21" i="13"/>
  <c r="E17" i="13"/>
  <c r="E13" i="13"/>
  <c r="E9" i="13"/>
  <c r="E5" i="13"/>
  <c r="E60" i="13"/>
  <c r="E56" i="13"/>
  <c r="E52" i="13"/>
  <c r="E48" i="13"/>
  <c r="E44" i="13"/>
  <c r="E40" i="13"/>
  <c r="E36" i="13"/>
  <c r="E32" i="13"/>
  <c r="E28" i="13"/>
  <c r="E24" i="13"/>
  <c r="E20" i="13"/>
  <c r="E16" i="13"/>
  <c r="E12" i="13"/>
  <c r="E8" i="13"/>
  <c r="E4" i="13"/>
  <c r="E59" i="13"/>
  <c r="E55" i="13"/>
  <c r="E51" i="13"/>
  <c r="E47" i="13"/>
  <c r="E43" i="13"/>
  <c r="E39" i="13"/>
  <c r="E35" i="13"/>
  <c r="E31" i="13"/>
  <c r="E27" i="13"/>
  <c r="E23" i="13"/>
  <c r="E19" i="13"/>
  <c r="E15" i="13"/>
  <c r="E11" i="13"/>
  <c r="E7" i="13"/>
  <c r="E3" i="13"/>
  <c r="E2" i="13"/>
  <c r="B2" i="30" l="1" a="1"/>
  <c r="B2" i="3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<sst xmlns="http://schemas.openxmlformats.org/spreadsheetml/2006/main" count="94" uniqueCount="40">
  <si>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</si>
  <si>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</si>
  <si>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</si>
  <si>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</si>
  <si>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</si>
  <si>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</si>
  <si>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</si>
  <si>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</si>
  <si>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</si>
  <si>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</si>
  <si>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</si>
  <si>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</si>
  <si>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Ottawa</t>
  </si>
  <si>
    <t>Name</t>
  </si>
  <si>
    <t>Student Number</t>
  </si>
  <si>
    <t>Date</t>
  </si>
  <si>
    <t>Toronto</t>
  </si>
  <si>
    <t>_x0005_	September</t>
  </si>
  <si>
    <t>MARCH</t>
  </si>
  <si>
    <t>SeptembeR</t>
  </si>
  <si>
    <t>The data for the last 5 years' sales [2017-2021] is available in the Five Year data worksheet.</t>
  </si>
  <si>
    <t>_x000C_
aUGUST_x0001_</t>
  </si>
  <si>
    <t>April_x000E_</t>
  </si>
  <si>
    <t>octobeR_x000E_</t>
  </si>
  <si>
    <t>July_x000E_</t>
  </si>
  <si>
    <t>_x000E_April</t>
  </si>
  <si>
    <t>October_x000E_</t>
  </si>
  <si>
    <t>_x000E_November</t>
  </si>
  <si>
    <t>_x000E_January</t>
  </si>
  <si>
    <t>SepteMber_x000E_</t>
  </si>
  <si>
    <t>August_x000E_</t>
  </si>
  <si>
    <t>JanuaRY_x000E_</t>
  </si>
  <si>
    <t>Months</t>
  </si>
  <si>
    <t>Ontario -Total</t>
  </si>
  <si>
    <t>Grand Total</t>
  </si>
  <si>
    <t xml:space="preserve">Average of Ontario -Total </t>
  </si>
  <si>
    <t>Years</t>
  </si>
  <si>
    <t>Clean Months</t>
  </si>
  <si>
    <t>Aisha Abdisamad</t>
  </si>
  <si>
    <t>Ontario-Total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</si>
</sst>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???\ ???\ ???"/>
    <numFmt numFmtId="166" formatCode="[$-F800]dddd\,\ mmmm\ dd\,\ yyyy"/>
    <numFmt numFmtId="167" formatCode="_-* #,##0_-;\-* #,##0_-;_-* &quot;-&quot;??_-;_-@_-"/>
    <numFmt numFmtId="168" formatCode="&quot;$&quot;#,##0.00"/>
  </numFmts>
  <fonts count="6" x14ac:knownFonts="1">
    <font>
      <sz val="11"/>
      <color theme="1"/>
      <name val="Calibri"/>
      <family val="2"/>
      <scheme val="minor"/>
    </font>
    <font>
      <sz val="48"/>
      <color rgb="FFFF0000"/>
      <name val="Britannic Bold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">
    <xf numFmtId="0" fontId="0" fillId="0" borderId="0"/>
    <xf numFmtId="0" fontId="2" fillId="3" borderId="0" applyNumberFormat="0" applyBorder="0" applyAlignment="0" applyProtection="0"/>
    <xf numFmtId="164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0" fontId="2" fillId="3" borderId="0" xfId="1"/>
    <xf numFmtId="165" fontId="0" fillId="2" borderId="1" xfId="0" applyNumberFormat="1" applyFill="1" applyBorder="1" applyProtection="1">
      <protection locked="0"/>
    </xf>
    <xf numFmtId="0" fontId="3" fillId="0" borderId="0" xfId="0" applyFont="1"/>
    <xf numFmtId="166" fontId="0" fillId="2" borderId="1" xfId="0" applyNumberFormat="1" applyFill="1" applyBorder="1" applyProtection="1">
      <protection locked="0"/>
    </xf>
    <xf numFmtId="0" fontId="1" fillId="0" borderId="0" xfId="0" applyFont="1"/>
    <xf numFmtId="167" fontId="0" fillId="0" borderId="0" xfId="2" applyNumberFormat="1" applyFont="1"/>
    <xf numFmtId="167" fontId="3" fillId="0" borderId="0" xfId="2" applyNumberFormat="1" applyFont="1"/>
    <xf numFmtId="168" fontId="0" fillId="0" borderId="0" xfId="2" applyNumberFormat="1" applyFont="1"/>
    <xf numFmtId="168" fontId="0" fillId="0" borderId="0" xfId="2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3" xfId="0" applyBorder="1"/>
    <xf numFmtId="0" fontId="0" fillId="0" borderId="4" xfId="0" applyBorder="1"/>
    <xf numFmtId="0" fontId="5" fillId="5" borderId="6" xfId="0" applyFont="1" applyFill="1" applyBorder="1"/>
    <xf numFmtId="0" fontId="5" fillId="5" borderId="2" xfId="0" applyFont="1" applyFill="1" applyBorder="1"/>
    <xf numFmtId="0" fontId="5" fillId="5" borderId="7" xfId="0" applyFont="1" applyFill="1" applyBorder="1"/>
    <xf numFmtId="0" fontId="0" fillId="4" borderId="6" xfId="0" applyFill="1" applyBorder="1"/>
    <xf numFmtId="0" fontId="0" fillId="4" borderId="2" xfId="0" applyFill="1" applyBorder="1"/>
    <xf numFmtId="44" fontId="0" fillId="4" borderId="2" xfId="3" applyFont="1" applyFill="1" applyBorder="1"/>
    <xf numFmtId="44" fontId="0" fillId="4" borderId="7" xfId="3" applyFont="1" applyFill="1" applyBorder="1"/>
    <xf numFmtId="0" fontId="0" fillId="0" borderId="6" xfId="0" applyBorder="1"/>
    <xf numFmtId="0" fontId="0" fillId="0" borderId="2" xfId="0" applyBorder="1"/>
    <xf numFmtId="44" fontId="0" fillId="0" borderId="2" xfId="3" applyFont="1" applyBorder="1"/>
    <xf numFmtId="44" fontId="0" fillId="0" borderId="7" xfId="3" applyFont="1" applyBorder="1"/>
    <xf numFmtId="44" fontId="0" fillId="0" borderId="4" xfId="3" applyFont="1" applyBorder="1"/>
    <xf numFmtId="44" fontId="0" fillId="0" borderId="5" xfId="3" applyFont="1" applyBorder="1"/>
    <xf numFmtId="1" fontId="0" fillId="0" borderId="0" xfId="0" applyNumberFormat="1"/>
    <xf numFmtId="0" fontId="0" fillId="2" borderId="1" xfId="0" applyFill="1" applyBorder="1" applyAlignment="1">
      <alignment horizontal="right"/>
    </xf>
    <xf numFmtId="168" fontId="0" fillId="0" borderId="0" xfId="3" applyNumberFormat="1" applyFont="1"/>
  </cellXfs>
  <cellStyles count="4">
    <cellStyle name="Accent2" xfId="1" builtinId="33"/>
    <cellStyle name="Comma" xfId="2" builtinId="3"/>
    <cellStyle name="Currency" xfId="3" builtinId="4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2" formatCode="0.00"/>
    </dxf>
    <dxf>
      <numFmt numFmtId="169" formatCode="0.0"/>
    </dxf>
    <dxf>
      <numFmt numFmtId="170" formatCode="0.0000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'Provincial Trend'!$B$1</c:f>
              <c:strCache>
                <c:ptCount val="1"/>
                <c:pt idx="0">
                  <c:v>Ontario-Total</c:v>
                </c:pt>
              </c:strCache>
            </c:strRef>
          </c:tx>
          <c:spPr>
            <a:ln w="28575">
              <a:solidFill>
                <a:schemeClr val="accent1">
                  <a:alpha val="20000"/>
                </a:schemeClr>
              </a:solidFill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63500" cap="rnd" cmpd="sng" algn="ctr">
                <a:solidFill>
                  <a:schemeClr val="accent1">
                    <a:alpha val="25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xVal>
            <c:strRef>
              <c:f>'Provincial Trend'!$A$2:$A$61</c:f>
              <c:strCache>
                <c:ptCount val="60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January</c:v>
                </c:pt>
                <c:pt idx="13">
                  <c:v>February</c:v>
                </c:pt>
                <c:pt idx="14">
                  <c:v>March</c:v>
                </c:pt>
                <c:pt idx="15">
                  <c:v>April</c:v>
                </c:pt>
                <c:pt idx="16">
                  <c:v>May</c:v>
                </c:pt>
                <c:pt idx="17">
                  <c:v>June</c:v>
                </c:pt>
                <c:pt idx="18">
                  <c:v>July</c:v>
                </c:pt>
                <c:pt idx="19">
                  <c:v>August</c:v>
                </c:pt>
                <c:pt idx="20">
                  <c:v>September</c:v>
                </c:pt>
                <c:pt idx="21">
                  <c:v>October</c:v>
                </c:pt>
                <c:pt idx="22">
                  <c:v>November</c:v>
                </c:pt>
                <c:pt idx="23">
                  <c:v>December</c:v>
                </c:pt>
                <c:pt idx="24">
                  <c:v>January</c:v>
                </c:pt>
                <c:pt idx="25">
                  <c:v>February</c:v>
                </c:pt>
                <c:pt idx="26">
                  <c:v>March</c:v>
                </c:pt>
                <c:pt idx="27">
                  <c:v>April</c:v>
                </c:pt>
                <c:pt idx="28">
                  <c:v>May</c:v>
                </c:pt>
                <c:pt idx="29">
                  <c:v>June</c:v>
                </c:pt>
                <c:pt idx="30">
                  <c:v>July</c:v>
                </c:pt>
                <c:pt idx="31">
                  <c:v>August</c:v>
                </c:pt>
                <c:pt idx="32">
                  <c:v>September</c:v>
                </c:pt>
                <c:pt idx="33">
                  <c:v>October</c:v>
                </c:pt>
                <c:pt idx="34">
                  <c:v>November</c:v>
                </c:pt>
                <c:pt idx="35">
                  <c:v>December</c:v>
                </c:pt>
                <c:pt idx="36">
                  <c:v>January</c:v>
                </c:pt>
                <c:pt idx="37">
                  <c:v>February</c:v>
                </c:pt>
                <c:pt idx="38">
                  <c:v>March</c:v>
                </c:pt>
                <c:pt idx="39">
                  <c:v>April</c:v>
                </c:pt>
                <c:pt idx="40">
                  <c:v>May</c:v>
                </c:pt>
                <c:pt idx="41">
                  <c:v>June</c:v>
                </c:pt>
                <c:pt idx="42">
                  <c:v>July</c:v>
                </c:pt>
                <c:pt idx="43">
                  <c:v>August</c:v>
                </c:pt>
                <c:pt idx="44">
                  <c:v>September</c:v>
                </c:pt>
                <c:pt idx="45">
                  <c:v>October</c:v>
                </c:pt>
                <c:pt idx="46">
                  <c:v>November</c:v>
                </c:pt>
                <c:pt idx="47">
                  <c:v>December</c:v>
                </c:pt>
                <c:pt idx="48">
                  <c:v>January</c:v>
                </c:pt>
                <c:pt idx="49">
                  <c:v>February</c:v>
                </c:pt>
                <c:pt idx="50">
                  <c:v>March</c:v>
                </c:pt>
                <c:pt idx="51">
                  <c:v>April</c:v>
                </c:pt>
                <c:pt idx="52">
                  <c:v>May</c:v>
                </c:pt>
                <c:pt idx="53">
                  <c:v>June</c:v>
                </c:pt>
                <c:pt idx="54">
                  <c:v>July</c:v>
                </c:pt>
                <c:pt idx="55">
                  <c:v>August</c:v>
                </c:pt>
                <c:pt idx="56">
                  <c:v>September</c:v>
                </c:pt>
                <c:pt idx="57">
                  <c:v>October</c:v>
                </c:pt>
                <c:pt idx="58">
                  <c:v>November</c:v>
                </c:pt>
                <c:pt idx="59">
                  <c:v>December</c:v>
                </c:pt>
              </c:strCache>
            </c:strRef>
          </c:xVal>
          <c:yVal>
            <c:numRef>
              <c:f>'Provincial Trend'!$B$2:$B$61</c:f>
              <c:numCache>
                <c:formatCode>"$"#,##0.00</c:formatCode>
                <c:ptCount val="60"/>
                <c:pt idx="0">
                  <c:v>65305</c:v>
                </c:pt>
                <c:pt idx="1">
                  <c:v>61348</c:v>
                </c:pt>
                <c:pt idx="2">
                  <c:v>64417</c:v>
                </c:pt>
                <c:pt idx="3">
                  <c:v>65350</c:v>
                </c:pt>
                <c:pt idx="4">
                  <c:v>67752</c:v>
                </c:pt>
                <c:pt idx="5">
                  <c:v>69963</c:v>
                </c:pt>
                <c:pt idx="6">
                  <c:v>69973</c:v>
                </c:pt>
                <c:pt idx="7">
                  <c:v>67945</c:v>
                </c:pt>
                <c:pt idx="8">
                  <c:v>67117</c:v>
                </c:pt>
                <c:pt idx="9">
                  <c:v>62021</c:v>
                </c:pt>
                <c:pt idx="10">
                  <c:v>62871</c:v>
                </c:pt>
                <c:pt idx="11">
                  <c:v>66422</c:v>
                </c:pt>
                <c:pt idx="12">
                  <c:v>67978</c:v>
                </c:pt>
                <c:pt idx="13">
                  <c:v>63434</c:v>
                </c:pt>
                <c:pt idx="14">
                  <c:v>68110</c:v>
                </c:pt>
                <c:pt idx="15">
                  <c:v>69007</c:v>
                </c:pt>
                <c:pt idx="16">
                  <c:v>70645</c:v>
                </c:pt>
                <c:pt idx="17">
                  <c:v>72283</c:v>
                </c:pt>
                <c:pt idx="18">
                  <c:v>72544</c:v>
                </c:pt>
                <c:pt idx="19">
                  <c:v>70354</c:v>
                </c:pt>
                <c:pt idx="20">
                  <c:v>69765</c:v>
                </c:pt>
                <c:pt idx="21">
                  <c:v>65693</c:v>
                </c:pt>
                <c:pt idx="22">
                  <c:v>64343</c:v>
                </c:pt>
                <c:pt idx="23">
                  <c:v>69655</c:v>
                </c:pt>
                <c:pt idx="24">
                  <c:v>70255</c:v>
                </c:pt>
                <c:pt idx="25">
                  <c:v>64021</c:v>
                </c:pt>
                <c:pt idx="26">
                  <c:v>63009</c:v>
                </c:pt>
                <c:pt idx="27">
                  <c:v>65685</c:v>
                </c:pt>
                <c:pt idx="28">
                  <c:v>65423</c:v>
                </c:pt>
                <c:pt idx="29">
                  <c:v>67011</c:v>
                </c:pt>
                <c:pt idx="30">
                  <c:v>69012</c:v>
                </c:pt>
                <c:pt idx="31">
                  <c:v>69245</c:v>
                </c:pt>
                <c:pt idx="32">
                  <c:v>69354</c:v>
                </c:pt>
                <c:pt idx="33">
                  <c:v>64747</c:v>
                </c:pt>
                <c:pt idx="34">
                  <c:v>63920</c:v>
                </c:pt>
                <c:pt idx="35">
                  <c:v>70746</c:v>
                </c:pt>
                <c:pt idx="36">
                  <c:v>73186</c:v>
                </c:pt>
                <c:pt idx="37">
                  <c:v>68352</c:v>
                </c:pt>
                <c:pt idx="38">
                  <c:v>69698</c:v>
                </c:pt>
                <c:pt idx="39">
                  <c:v>71092</c:v>
                </c:pt>
                <c:pt idx="40">
                  <c:v>72642</c:v>
                </c:pt>
                <c:pt idx="41">
                  <c:v>74696</c:v>
                </c:pt>
                <c:pt idx="42">
                  <c:v>74220</c:v>
                </c:pt>
                <c:pt idx="43">
                  <c:v>71460</c:v>
                </c:pt>
                <c:pt idx="44">
                  <c:v>70828</c:v>
                </c:pt>
                <c:pt idx="45">
                  <c:v>64169</c:v>
                </c:pt>
                <c:pt idx="46">
                  <c:v>64890</c:v>
                </c:pt>
                <c:pt idx="47">
                  <c:v>73443</c:v>
                </c:pt>
                <c:pt idx="48">
                  <c:v>75787</c:v>
                </c:pt>
                <c:pt idx="49">
                  <c:v>69669</c:v>
                </c:pt>
                <c:pt idx="50">
                  <c:v>72023</c:v>
                </c:pt>
                <c:pt idx="51">
                  <c:v>75153</c:v>
                </c:pt>
                <c:pt idx="52">
                  <c:v>76872</c:v>
                </c:pt>
                <c:pt idx="53">
                  <c:v>76757</c:v>
                </c:pt>
                <c:pt idx="54">
                  <c:v>75883</c:v>
                </c:pt>
                <c:pt idx="55">
                  <c:v>74984</c:v>
                </c:pt>
                <c:pt idx="56">
                  <c:v>72938</c:v>
                </c:pt>
                <c:pt idx="57">
                  <c:v>65747</c:v>
                </c:pt>
                <c:pt idx="58">
                  <c:v>65376</c:v>
                </c:pt>
                <c:pt idx="59">
                  <c:v>76038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C6-8143-A7F0-9866546FC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4263359"/>
        <c:axId val="709713743"/>
      </c:scatterChart>
      <c:valAx>
        <c:axId val="644263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713743"/>
        <c:crosses val="autoZero"/>
        <c:crossBetween val="midCat"/>
      </c:valAx>
      <c:valAx>
        <c:axId val="70971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263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Ontario</a:t>
            </a:r>
            <a:r>
              <a:rPr lang="en-US" baseline="0"/>
              <a:t> </a:t>
            </a:r>
            <a:r>
              <a:rPr lang="en-US"/>
              <a:t>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'Provincial Trend'!$B$1</c:f>
              <c:strCache>
                <c:ptCount val="1"/>
                <c:pt idx="0">
                  <c:v>Ontario-Total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'Provincial Trend'!$A$2:$A$61</c:f>
              <c:strCache>
                <c:ptCount val="60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January</c:v>
                </c:pt>
                <c:pt idx="13">
                  <c:v>February</c:v>
                </c:pt>
                <c:pt idx="14">
                  <c:v>March</c:v>
                </c:pt>
                <c:pt idx="15">
                  <c:v>April</c:v>
                </c:pt>
                <c:pt idx="16">
                  <c:v>May</c:v>
                </c:pt>
                <c:pt idx="17">
                  <c:v>June</c:v>
                </c:pt>
                <c:pt idx="18">
                  <c:v>July</c:v>
                </c:pt>
                <c:pt idx="19">
                  <c:v>August</c:v>
                </c:pt>
                <c:pt idx="20">
                  <c:v>September</c:v>
                </c:pt>
                <c:pt idx="21">
                  <c:v>October</c:v>
                </c:pt>
                <c:pt idx="22">
                  <c:v>November</c:v>
                </c:pt>
                <c:pt idx="23">
                  <c:v>December</c:v>
                </c:pt>
                <c:pt idx="24">
                  <c:v>January</c:v>
                </c:pt>
                <c:pt idx="25">
                  <c:v>February</c:v>
                </c:pt>
                <c:pt idx="26">
                  <c:v>March</c:v>
                </c:pt>
                <c:pt idx="27">
                  <c:v>April</c:v>
                </c:pt>
                <c:pt idx="28">
                  <c:v>May</c:v>
                </c:pt>
                <c:pt idx="29">
                  <c:v>June</c:v>
                </c:pt>
                <c:pt idx="30">
                  <c:v>July</c:v>
                </c:pt>
                <c:pt idx="31">
                  <c:v>August</c:v>
                </c:pt>
                <c:pt idx="32">
                  <c:v>September</c:v>
                </c:pt>
                <c:pt idx="33">
                  <c:v>October</c:v>
                </c:pt>
                <c:pt idx="34">
                  <c:v>November</c:v>
                </c:pt>
                <c:pt idx="35">
                  <c:v>December</c:v>
                </c:pt>
                <c:pt idx="36">
                  <c:v>January</c:v>
                </c:pt>
                <c:pt idx="37">
                  <c:v>February</c:v>
                </c:pt>
                <c:pt idx="38">
                  <c:v>March</c:v>
                </c:pt>
                <c:pt idx="39">
                  <c:v>April</c:v>
                </c:pt>
                <c:pt idx="40">
                  <c:v>May</c:v>
                </c:pt>
                <c:pt idx="41">
                  <c:v>June</c:v>
                </c:pt>
                <c:pt idx="42">
                  <c:v>July</c:v>
                </c:pt>
                <c:pt idx="43">
                  <c:v>August</c:v>
                </c:pt>
                <c:pt idx="44">
                  <c:v>September</c:v>
                </c:pt>
                <c:pt idx="45">
                  <c:v>October</c:v>
                </c:pt>
                <c:pt idx="46">
                  <c:v>November</c:v>
                </c:pt>
                <c:pt idx="47">
                  <c:v>December</c:v>
                </c:pt>
                <c:pt idx="48">
                  <c:v>January</c:v>
                </c:pt>
                <c:pt idx="49">
                  <c:v>February</c:v>
                </c:pt>
                <c:pt idx="50">
                  <c:v>March</c:v>
                </c:pt>
                <c:pt idx="51">
                  <c:v>April</c:v>
                </c:pt>
                <c:pt idx="52">
                  <c:v>May</c:v>
                </c:pt>
                <c:pt idx="53">
                  <c:v>June</c:v>
                </c:pt>
                <c:pt idx="54">
                  <c:v>July</c:v>
                </c:pt>
                <c:pt idx="55">
                  <c:v>August</c:v>
                </c:pt>
                <c:pt idx="56">
                  <c:v>September</c:v>
                </c:pt>
                <c:pt idx="57">
                  <c:v>October</c:v>
                </c:pt>
                <c:pt idx="58">
                  <c:v>November</c:v>
                </c:pt>
                <c:pt idx="59">
                  <c:v>December</c:v>
                </c:pt>
              </c:strCache>
            </c:strRef>
          </c:cat>
          <c:val>
            <c:numRef>
              <c:f>'Provincial Trend'!$B$2:$B$61</c:f>
              <c:numCache>
                <c:formatCode>"$"#,##0.00</c:formatCode>
                <c:ptCount val="60"/>
                <c:pt idx="0">
                  <c:v>65305</c:v>
                </c:pt>
                <c:pt idx="1">
                  <c:v>61348</c:v>
                </c:pt>
                <c:pt idx="2">
                  <c:v>64417</c:v>
                </c:pt>
                <c:pt idx="3">
                  <c:v>65350</c:v>
                </c:pt>
                <c:pt idx="4">
                  <c:v>67752</c:v>
                </c:pt>
                <c:pt idx="5">
                  <c:v>69963</c:v>
                </c:pt>
                <c:pt idx="6">
                  <c:v>69973</c:v>
                </c:pt>
                <c:pt idx="7">
                  <c:v>67945</c:v>
                </c:pt>
                <c:pt idx="8">
                  <c:v>67117</c:v>
                </c:pt>
                <c:pt idx="9">
                  <c:v>62021</c:v>
                </c:pt>
                <c:pt idx="10">
                  <c:v>62871</c:v>
                </c:pt>
                <c:pt idx="11">
                  <c:v>66422</c:v>
                </c:pt>
                <c:pt idx="12">
                  <c:v>67978</c:v>
                </c:pt>
                <c:pt idx="13">
                  <c:v>63434</c:v>
                </c:pt>
                <c:pt idx="14">
                  <c:v>68110</c:v>
                </c:pt>
                <c:pt idx="15">
                  <c:v>69007</c:v>
                </c:pt>
                <c:pt idx="16">
                  <c:v>70645</c:v>
                </c:pt>
                <c:pt idx="17">
                  <c:v>72283</c:v>
                </c:pt>
                <c:pt idx="18">
                  <c:v>72544</c:v>
                </c:pt>
                <c:pt idx="19">
                  <c:v>70354</c:v>
                </c:pt>
                <c:pt idx="20">
                  <c:v>69765</c:v>
                </c:pt>
                <c:pt idx="21">
                  <c:v>65693</c:v>
                </c:pt>
                <c:pt idx="22">
                  <c:v>64343</c:v>
                </c:pt>
                <c:pt idx="23">
                  <c:v>69655</c:v>
                </c:pt>
                <c:pt idx="24">
                  <c:v>70255</c:v>
                </c:pt>
                <c:pt idx="25">
                  <c:v>64021</c:v>
                </c:pt>
                <c:pt idx="26">
                  <c:v>63009</c:v>
                </c:pt>
                <c:pt idx="27">
                  <c:v>65685</c:v>
                </c:pt>
                <c:pt idx="28">
                  <c:v>65423</c:v>
                </c:pt>
                <c:pt idx="29">
                  <c:v>67011</c:v>
                </c:pt>
                <c:pt idx="30">
                  <c:v>69012</c:v>
                </c:pt>
                <c:pt idx="31">
                  <c:v>69245</c:v>
                </c:pt>
                <c:pt idx="32">
                  <c:v>69354</c:v>
                </c:pt>
                <c:pt idx="33">
                  <c:v>64747</c:v>
                </c:pt>
                <c:pt idx="34">
                  <c:v>63920</c:v>
                </c:pt>
                <c:pt idx="35">
                  <c:v>70746</c:v>
                </c:pt>
                <c:pt idx="36">
                  <c:v>73186</c:v>
                </c:pt>
                <c:pt idx="37">
                  <c:v>68352</c:v>
                </c:pt>
                <c:pt idx="38">
                  <c:v>69698</c:v>
                </c:pt>
                <c:pt idx="39">
                  <c:v>71092</c:v>
                </c:pt>
                <c:pt idx="40">
                  <c:v>72642</c:v>
                </c:pt>
                <c:pt idx="41">
                  <c:v>74696</c:v>
                </c:pt>
                <c:pt idx="42">
                  <c:v>74220</c:v>
                </c:pt>
                <c:pt idx="43">
                  <c:v>71460</c:v>
                </c:pt>
                <c:pt idx="44">
                  <c:v>70828</c:v>
                </c:pt>
                <c:pt idx="45">
                  <c:v>64169</c:v>
                </c:pt>
                <c:pt idx="46">
                  <c:v>64890</c:v>
                </c:pt>
                <c:pt idx="47">
                  <c:v>73443</c:v>
                </c:pt>
                <c:pt idx="48">
                  <c:v>75787</c:v>
                </c:pt>
                <c:pt idx="49">
                  <c:v>69669</c:v>
                </c:pt>
                <c:pt idx="50">
                  <c:v>72023</c:v>
                </c:pt>
                <c:pt idx="51">
                  <c:v>75153</c:v>
                </c:pt>
                <c:pt idx="52">
                  <c:v>76872</c:v>
                </c:pt>
                <c:pt idx="53">
                  <c:v>76757</c:v>
                </c:pt>
                <c:pt idx="54">
                  <c:v>75883</c:v>
                </c:pt>
                <c:pt idx="55">
                  <c:v>74984</c:v>
                </c:pt>
                <c:pt idx="56">
                  <c:v>72938</c:v>
                </c:pt>
                <c:pt idx="57">
                  <c:v>65747</c:v>
                </c:pt>
                <c:pt idx="58">
                  <c:v>65376</c:v>
                </c:pt>
                <c:pt idx="59">
                  <c:v>76038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16-2F45-88F3-90156B665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18412799"/>
        <c:axId val="818675183"/>
      </c:barChart>
      <c:catAx>
        <c:axId val="81841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675183"/>
        <c:crosses val="autoZero"/>
        <c:auto val="1"/>
        <c:lblAlgn val="ctr"/>
        <c:lblOffset val="100"/>
        <c:noMultiLvlLbl val="0"/>
      </c:catAx>
      <c:valAx>
        <c:axId val="81867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412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819150</xdr:colOff>
      <xdr:row>0</xdr:row>
      <xdr:rowOff>171450</xdr:rowOff>
    </xdr:from>
    <xdr:to>
      <xdr:col>10</xdr:col>
      <xdr:colOff>190500</xdr:colOff>
      <xdr:row>21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9ACD6D6-C4A1-8D8A-7B59-466F0278FF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0</xdr:row>
      <xdr:rowOff>165100</xdr:rowOff>
    </xdr:from>
    <xdr:to>
      <xdr:col>19</xdr:col>
      <xdr:colOff>127000</xdr:colOff>
      <xdr:row>21</xdr:row>
      <xdr:rowOff>50800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607353C-710E-81F6-937F-05BE7F6952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338.674990740743" createdVersion="8" refreshedVersion="8" minRefreshableVersion="3" recordCount="60" xr:uid="{03845626-A743-C443-873F-598CA61960C6}">
  <cacheSource type="worksheet">
    <worksheetSource ref="A1:E61" sheet="Ontario"/>
  </cacheSource>
  <cacheFields count="5">
    <cacheField name="Year" numFmtId="0">
      <sharedItems containsSemiMixedTypes="0" containsString="0" containsNumber="1" containsInteger="1" minValue="2017" maxValue="2021" count="5">
        <n v="2021"/>
        <n v="2020"/>
        <n v="2019"/>
        <n v="2018"/>
        <n v="2017"/>
      </sharedItems>
    </cacheField>
    <cacheField name="Months" numFmtId="0">
      <sharedItems count="12">
        <s v="December"/>
        <s v="November"/>
        <s v="October"/>
        <s v="September"/>
        <s v="August"/>
        <s v="July"/>
        <s v="June"/>
        <s v="May"/>
        <s v="April"/>
        <s v="March"/>
        <s v="February"/>
        <s v="January"/>
      </sharedItems>
    </cacheField>
    <cacheField name="Toronto" numFmtId="44">
      <sharedItems containsSemiMixedTypes="0" containsString="0" containsNumber="1" containsInteger="1" minValue="50652" maxValue="61089"/>
    </cacheField>
    <cacheField name="Ottawa" numFmtId="44">
      <sharedItems containsSemiMixedTypes="0" containsString="0" containsNumber="1" containsInteger="1" minValue="10036" maxValue="16558"/>
    </cacheField>
    <cacheField name="Ontario -Total" numFmtId="44">
      <sharedItems containsSemiMixedTypes="0" containsString="0" containsNumber="1" containsInteger="1" minValue="61348" maxValue="768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n v="60049"/>
    <n v="15989"/>
    <n v="76038"/>
  </r>
  <r>
    <x v="0"/>
    <x v="1"/>
    <n v="53811"/>
    <n v="11565"/>
    <n v="65376"/>
  </r>
  <r>
    <x v="0"/>
    <x v="2"/>
    <n v="53095"/>
    <n v="12652"/>
    <n v="65747"/>
  </r>
  <r>
    <x v="0"/>
    <x v="3"/>
    <n v="59243"/>
    <n v="13695"/>
    <n v="72938"/>
  </r>
  <r>
    <x v="0"/>
    <x v="4"/>
    <n v="59999"/>
    <n v="14985"/>
    <n v="74984"/>
  </r>
  <r>
    <x v="0"/>
    <x v="5"/>
    <n v="60185"/>
    <n v="15698"/>
    <n v="75883"/>
  </r>
  <r>
    <x v="0"/>
    <x v="6"/>
    <n v="60199"/>
    <n v="16558"/>
    <n v="76757"/>
  </r>
  <r>
    <x v="0"/>
    <x v="7"/>
    <n v="61025"/>
    <n v="15847"/>
    <n v="76872"/>
  </r>
  <r>
    <x v="0"/>
    <x v="8"/>
    <n v="60584"/>
    <n v="14569"/>
    <n v="75153"/>
  </r>
  <r>
    <x v="0"/>
    <x v="9"/>
    <n v="59658"/>
    <n v="12365"/>
    <n v="72023"/>
  </r>
  <r>
    <x v="0"/>
    <x v="10"/>
    <n v="57985"/>
    <n v="11684"/>
    <n v="69669"/>
  </r>
  <r>
    <x v="0"/>
    <x v="11"/>
    <n v="61089"/>
    <n v="14698"/>
    <n v="75787"/>
  </r>
  <r>
    <x v="1"/>
    <x v="0"/>
    <n v="58411"/>
    <n v="15032"/>
    <n v="73443"/>
  </r>
  <r>
    <x v="1"/>
    <x v="1"/>
    <n v="53792"/>
    <n v="11098"/>
    <n v="64890"/>
  </r>
  <r>
    <x v="1"/>
    <x v="2"/>
    <n v="52804"/>
    <n v="11365"/>
    <n v="64169"/>
  </r>
  <r>
    <x v="1"/>
    <x v="3"/>
    <n v="58463"/>
    <n v="12365"/>
    <n v="70828"/>
  </r>
  <r>
    <x v="1"/>
    <x v="4"/>
    <n v="58965"/>
    <n v="12495"/>
    <n v="71460"/>
  </r>
  <r>
    <x v="1"/>
    <x v="5"/>
    <n v="59651"/>
    <n v="14569"/>
    <n v="74220"/>
  </r>
  <r>
    <x v="1"/>
    <x v="6"/>
    <n v="59998"/>
    <n v="14698"/>
    <n v="74696"/>
  </r>
  <r>
    <x v="1"/>
    <x v="7"/>
    <n v="58987"/>
    <n v="13655"/>
    <n v="72642"/>
  </r>
  <r>
    <x v="1"/>
    <x v="8"/>
    <n v="57845"/>
    <n v="13247"/>
    <n v="71092"/>
  </r>
  <r>
    <x v="1"/>
    <x v="9"/>
    <n v="56584"/>
    <n v="13114"/>
    <n v="69698"/>
  </r>
  <r>
    <x v="1"/>
    <x v="10"/>
    <n v="55654"/>
    <n v="12698"/>
    <n v="68352"/>
  </r>
  <r>
    <x v="1"/>
    <x v="11"/>
    <n v="58950"/>
    <n v="14236"/>
    <n v="73186"/>
  </r>
  <r>
    <x v="2"/>
    <x v="0"/>
    <n v="55761"/>
    <n v="14985"/>
    <n v="70746"/>
  </r>
  <r>
    <x v="2"/>
    <x v="1"/>
    <n v="52964"/>
    <n v="10956"/>
    <n v="63920"/>
  </r>
  <r>
    <x v="2"/>
    <x v="2"/>
    <n v="52762"/>
    <n v="11985"/>
    <n v="64747"/>
  </r>
  <r>
    <x v="2"/>
    <x v="3"/>
    <n v="57386"/>
    <n v="11968"/>
    <n v="69354"/>
  </r>
  <r>
    <x v="2"/>
    <x v="4"/>
    <n v="57231"/>
    <n v="12014"/>
    <n v="69245"/>
  </r>
  <r>
    <x v="2"/>
    <x v="5"/>
    <n v="56354"/>
    <n v="12658"/>
    <n v="69012"/>
  </r>
  <r>
    <x v="2"/>
    <x v="6"/>
    <n v="54026"/>
    <n v="12985"/>
    <n v="67011"/>
  </r>
  <r>
    <x v="2"/>
    <x v="11"/>
    <n v="57890"/>
    <n v="12365"/>
    <n v="70255"/>
  </r>
  <r>
    <x v="2"/>
    <x v="7"/>
    <n v="53965"/>
    <n v="11458"/>
    <n v="65423"/>
  </r>
  <r>
    <x v="2"/>
    <x v="8"/>
    <n v="53987"/>
    <n v="11698"/>
    <n v="65685"/>
  </r>
  <r>
    <x v="2"/>
    <x v="9"/>
    <n v="52047"/>
    <n v="10962"/>
    <n v="63009"/>
  </r>
  <r>
    <x v="2"/>
    <x v="10"/>
    <n v="53985"/>
    <n v="10036"/>
    <n v="64021"/>
  </r>
  <r>
    <x v="3"/>
    <x v="0"/>
    <n v="55557"/>
    <n v="14098"/>
    <n v="69655"/>
  </r>
  <r>
    <x v="3"/>
    <x v="1"/>
    <n v="52307"/>
    <n v="12036"/>
    <n v="64343"/>
  </r>
  <r>
    <x v="3"/>
    <x v="2"/>
    <n v="52469"/>
    <n v="13224"/>
    <n v="65693"/>
  </r>
  <r>
    <x v="3"/>
    <x v="3"/>
    <n v="56239"/>
    <n v="13526"/>
    <n v="69765"/>
  </r>
  <r>
    <x v="3"/>
    <x v="4"/>
    <n v="56369"/>
    <n v="13985"/>
    <n v="70354"/>
  </r>
  <r>
    <x v="3"/>
    <x v="5"/>
    <n v="57548"/>
    <n v="14996"/>
    <n v="72544"/>
  </r>
  <r>
    <x v="3"/>
    <x v="6"/>
    <n v="57631"/>
    <n v="14652"/>
    <n v="72283"/>
  </r>
  <r>
    <x v="3"/>
    <x v="7"/>
    <n v="56987"/>
    <n v="13658"/>
    <n v="70645"/>
  </r>
  <r>
    <x v="3"/>
    <x v="8"/>
    <n v="56002"/>
    <n v="13005"/>
    <n v="69007"/>
  </r>
  <r>
    <x v="3"/>
    <x v="9"/>
    <n v="55125"/>
    <n v="12985"/>
    <n v="68110"/>
  </r>
  <r>
    <x v="3"/>
    <x v="10"/>
    <n v="53065"/>
    <n v="10369"/>
    <n v="63434"/>
  </r>
  <r>
    <x v="3"/>
    <x v="11"/>
    <n v="56320"/>
    <n v="11658"/>
    <n v="67978"/>
  </r>
  <r>
    <x v="4"/>
    <x v="0"/>
    <n v="53435"/>
    <n v="12987"/>
    <n v="66422"/>
  </r>
  <r>
    <x v="4"/>
    <x v="1"/>
    <n v="50865"/>
    <n v="12006"/>
    <n v="62871"/>
  </r>
  <r>
    <x v="4"/>
    <x v="2"/>
    <n v="50652"/>
    <n v="11369"/>
    <n v="62021"/>
  </r>
  <r>
    <x v="4"/>
    <x v="3"/>
    <n v="54570"/>
    <n v="12547"/>
    <n v="67117"/>
  </r>
  <r>
    <x v="4"/>
    <x v="4"/>
    <n v="55580"/>
    <n v="12365"/>
    <n v="67945"/>
  </r>
  <r>
    <x v="4"/>
    <x v="9"/>
    <n v="53452"/>
    <n v="10965"/>
    <n v="64417"/>
  </r>
  <r>
    <x v="4"/>
    <x v="11"/>
    <n v="53980"/>
    <n v="11325"/>
    <n v="65305"/>
  </r>
  <r>
    <x v="4"/>
    <x v="5"/>
    <n v="55950"/>
    <n v="14023"/>
    <n v="69973"/>
  </r>
  <r>
    <x v="4"/>
    <x v="6"/>
    <n v="55998"/>
    <n v="13965"/>
    <n v="69963"/>
  </r>
  <r>
    <x v="4"/>
    <x v="7"/>
    <n v="55054"/>
    <n v="12698"/>
    <n v="67752"/>
  </r>
  <r>
    <x v="4"/>
    <x v="8"/>
    <n v="54096"/>
    <n v="11254"/>
    <n v="65350"/>
  </r>
  <r>
    <x v="4"/>
    <x v="10"/>
    <n v="50896"/>
    <n v="10452"/>
    <n v="613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C6D9C6-747D-3C4C-A0B2-9CFBF58FB75C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s" colHeaderCaption="Years">
  <location ref="G2:M16" firstHeaderRow="1" firstDataRow="2" firstDataCol="1"/>
  <pivotFields count="5">
    <pivotField axis="axisCol" showAll="0">
      <items count="6">
        <item x="4"/>
        <item x="3"/>
        <item x="2"/>
        <item x="1"/>
        <item x="0"/>
        <item t="default"/>
      </items>
    </pivotField>
    <pivotField axis="axisRow" showAll="0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umFmtId="44" showAll="0"/>
    <pivotField numFmtId="44" showAll="0"/>
    <pivotField dataField="1" numFmtId="44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Ontario -Total " fld="4" subtotal="average" baseField="0" baseItem="0"/>
  </dataFields>
  <formats count="16">
    <format dxfId="15">
      <pivotArea field="1" grandCol="1" collapsedLevelsAreSubtotals="1" axis="axisRow" fieldPosition="0">
        <references count="1">
          <reference field="1" count="1">
            <x v="0"/>
          </reference>
        </references>
      </pivotArea>
    </format>
    <format dxfId="14">
      <pivotArea field="1" grandCol="1" collapsedLevelsAreSubtotals="1" axis="axisRow" fieldPosition="0">
        <references count="1">
          <reference field="1" count="1">
            <x v="1"/>
          </reference>
        </references>
      </pivotArea>
    </format>
    <format dxfId="13">
      <pivotArea field="1" grandCol="1" collapsedLevelsAreSubtotals="1" axis="axisRow" fieldPosition="0">
        <references count="1">
          <reference field="1" count="1">
            <x v="2"/>
          </reference>
        </references>
      </pivotArea>
    </format>
    <format dxfId="12">
      <pivotArea field="1" grandCol="1" collapsedLevelsAreSubtotals="1" axis="axisRow" fieldPosition="0">
        <references count="1">
          <reference field="1" count="1">
            <x v="3"/>
          </reference>
        </references>
      </pivotArea>
    </format>
    <format dxfId="11">
      <pivotArea field="1" grandCol="1" collapsedLevelsAreSubtotals="1" axis="axisRow" fieldPosition="0">
        <references count="1">
          <reference field="1" count="1">
            <x v="4"/>
          </reference>
        </references>
      </pivotArea>
    </format>
    <format dxfId="10">
      <pivotArea field="1" grandCol="1" collapsedLevelsAreSubtotals="1" axis="axisRow" fieldPosition="0">
        <references count="1">
          <reference field="1" count="1">
            <x v="6"/>
          </reference>
        </references>
      </pivotArea>
    </format>
    <format dxfId="9">
      <pivotArea field="1" grandCol="1" collapsedLevelsAreSubtotals="1" axis="axisRow" fieldPosition="0">
        <references count="1">
          <reference field="1" count="1">
            <x v="7"/>
          </reference>
        </references>
      </pivotArea>
    </format>
    <format dxfId="8">
      <pivotArea field="1" grandCol="1" collapsedLevelsAreSubtotals="1" axis="axisRow" fieldPosition="0">
        <references count="1">
          <reference field="1" count="1">
            <x v="8"/>
          </reference>
        </references>
      </pivotArea>
    </format>
    <format dxfId="7">
      <pivotArea field="1" grandCol="1" collapsedLevelsAreSubtotals="1" axis="axisRow" fieldPosition="0">
        <references count="1">
          <reference field="1" count="1">
            <x v="9"/>
          </reference>
        </references>
      </pivotArea>
    </format>
    <format dxfId="6">
      <pivotArea field="1" grandCol="1" collapsedLevelsAreSubtotals="1" axis="axisRow" fieldPosition="0">
        <references count="1">
          <reference field="1" count="1">
            <x v="11"/>
          </reference>
        </references>
      </pivotArea>
    </format>
    <format dxfId="5">
      <pivotArea grandRow="1" grandCol="1" outline="0" collapsedLevelsAreSubtotals="1" fieldPosition="0"/>
    </format>
    <format dxfId="4">
      <pivotArea field="0" grandRow="1" outline="0" collapsedLevelsAreSubtotals="1" axis="axisCol" fieldPosition="0">
        <references count="1">
          <reference field="0" count="1" selected="0">
            <x v="0"/>
          </reference>
        </references>
      </pivotArea>
    </format>
    <format dxfId="3">
      <pivotArea field="0" grandRow="1" outline="0" collapsedLevelsAreSubtotals="1" axis="axisCol" fieldPosition="0">
        <references count="1">
          <reference field="0" count="1" selected="0">
            <x v="4"/>
          </reference>
        </references>
      </pivotArea>
    </format>
    <format dxfId="2">
      <pivotArea field="0" grandRow="1" outline="0" collapsedLevelsAreSubtotals="1" axis="axisCol" fieldPosition="0">
        <references count="1">
          <reference field="0" count="1" selected="0">
            <x v="4"/>
          </reference>
        </references>
      </pivotArea>
    </format>
    <format dxfId="1">
      <pivotArea collapsedLevelsAreSubtotals="1" fieldPosition="0">
        <references count="2">
          <reference field="0" count="0" selected="0"/>
          <reference field="1" count="0"/>
        </references>
      </pivotArea>
    </format>
    <format dxfId="0">
      <pivotArea outline="0" collapsedLevelsAreSubtotals="1" fieldPosition="0">
        <references count="1">
          <reference field="0" count="0" selected="0"/>
        </references>
      </pivotArea>
    </format>
  </formats>
  <conditionalFormats count="4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5" selected="0">
              <x v="0"/>
              <x v="1"/>
              <x v="2"/>
              <x v="3"/>
              <x v="4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5" selected="0">
              <x v="0"/>
              <x v="1"/>
              <x v="2"/>
              <x v="3"/>
              <x v="4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3">
      <pivotAreas count="2">
        <pivotArea type="data" grandRow="1" grandCol="1" outline="0" collapsedLevelsAreSubtotals="1" fieldPosition="0">
          <references count="1">
            <reference field="4294967294" count="1" selected="0">
              <x v="0"/>
            </reference>
          </references>
        </pivotArea>
        <pivotArea type="data" grandCol="1" collapsedLevelsAreSubtotals="1" fieldPosition="0">
          <references count="2">
            <reference field="4294967294" count="1" selected="0">
              <x v="0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4">
      <pivotAreas count="2">
        <pivotArea type="data" grandRow="1" grandCol="1" outline="0" collapsedLevelsAreSubtotals="1" fieldPosition="0">
          <references count="1">
            <reference field="4294967294" count="1" selected="0">
              <x v="0"/>
            </reference>
          </references>
        </pivotArea>
        <pivotArea type="data" grandCol="1" collapsedLevelsAreSubtotals="1" fieldPosition="0">
          <references count="2">
            <reference field="4294967294" count="1" selected="0">
              <x v="0"/>
            </reference>
            <reference field="1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021E2-36E3-4E61-B7AB-1070D876D07A}">
  <dimension ref="F2:G12"/>
  <sheetViews>
    <sheetView showGridLines="0" workbookViewId="0">
      <selection activeCell="H17" sqref="H17"/>
    </sheetView>
  </sheetViews>
  <sheetFormatPr baseColWidth="10" defaultColWidth="8.83203125" defaultRowHeight="15" x14ac:dyDescent="0.2"/>
  <cols>
    <col min="6" max="6" width="16" customWidth="1"/>
    <col min="7" max="7" width="50.1640625" customWidth="1"/>
  </cols>
  <sheetData>
    <row r="2" spans="6:7" ht="57" x14ac:dyDescent="0.45">
      <c r="G2" s="7"/>
    </row>
    <row r="4" spans="6:7" ht="65.25" customHeight="1" x14ac:dyDescent="0.2">
      <c r="G4" s="1" t="s">
        <v>20</v>
      </c>
    </row>
    <row r="9" spans="6:7" x14ac:dyDescent="0.2">
      <c r="F9" s="3" t="s">
        <v>13</v>
      </c>
      <c r="G9" s="30" t="s">
        <v>38</v>
      </c>
    </row>
    <row r="10" spans="6:7" x14ac:dyDescent="0.2">
      <c r="F10" s="3" t="s">
        <v>14</v>
      </c>
      <c r="G10" s="4"/>
    </row>
    <row r="12" spans="6:7" x14ac:dyDescent="0.2">
      <c r="F12" s="3" t="s">
        <v>15</v>
      </c>
      <c r="G12" s="6">
        <v>45338</v>
      </c>
    </row>
  </sheetData>
  <dataValidations count="1">
    <dataValidation type="whole" allowBlank="1" showInputMessage="1" showErrorMessage="1" errorTitle="CUID" error="Input your CUID as 9 digits._x000a_Example: 100100100" promptTitle="CUID" prompt="Please provide your 9 digit student number" sqref="G10" xr:uid="{FBC6F994-62EB-421D-96EF-997A5D08FE68}">
      <formula1>100000000</formula1>
      <formula2>999999999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CD974-2CA7-4E3F-B839-4C6F33D0A30B}">
  <dimension ref="A1:T66"/>
  <sheetViews>
    <sheetView zoomScale="130" zoomScaleNormal="130" workbookViewId="0">
      <selection activeCell="C11" sqref="C11"/>
    </sheetView>
  </sheetViews>
  <sheetFormatPr baseColWidth="10" defaultColWidth="8.83203125" defaultRowHeight="15" x14ac:dyDescent="0.2"/>
  <cols>
    <col min="1" max="1" width="8.5" customWidth="1"/>
    <col min="2" max="2" width="14.83203125" customWidth="1"/>
    <col min="3" max="3" width="23.33203125" bestFit="1" customWidth="1"/>
    <col min="4" max="4" width="13.1640625" customWidth="1"/>
    <col min="5" max="5" width="12.6640625" style="8" customWidth="1"/>
    <col min="6" max="6" width="15.33203125" customWidth="1"/>
    <col min="7" max="7" width="7.33203125" bestFit="1" customWidth="1"/>
    <col min="8" max="8" width="8.5" bestFit="1" customWidth="1"/>
    <col min="9" max="9" width="6.5" bestFit="1" customWidth="1"/>
    <col min="10" max="10" width="6.6640625" bestFit="1" customWidth="1"/>
    <col min="11" max="11" width="9.5" bestFit="1" customWidth="1"/>
    <col min="12" max="12" width="12.83203125" bestFit="1" customWidth="1"/>
    <col min="13" max="13" width="8.1640625" bestFit="1" customWidth="1"/>
  </cols>
  <sheetData>
    <row r="1" spans="1:20" ht="15.75" customHeight="1" x14ac:dyDescent="0.2">
      <c r="A1" s="5" t="s">
        <v>36</v>
      </c>
      <c r="B1" s="5" t="s">
        <v>32</v>
      </c>
      <c r="C1" s="5" t="s">
        <v>37</v>
      </c>
      <c r="D1" s="5" t="s">
        <v>16</v>
      </c>
      <c r="E1" s="9" t="s">
        <v>12</v>
      </c>
    </row>
    <row r="2" spans="1:20" x14ac:dyDescent="0.2">
      <c r="A2">
        <v>2017</v>
      </c>
      <c r="B2" t="s">
        <v>31</v>
      </c>
      <c r="C2" t="str">
        <f t="shared" ref="C2:C33" si="0">TRIM(+PROPER(+CLEAN(B2)))</f>
        <v>January</v>
      </c>
      <c r="D2" s="10">
        <v>53980</v>
      </c>
      <c r="E2" s="10">
        <v>11325</v>
      </c>
      <c r="F2" s="2"/>
      <c r="G2" s="2"/>
      <c r="H2" s="2"/>
      <c r="I2" s="2"/>
      <c r="J2" s="2"/>
      <c r="K2" s="2"/>
      <c r="L2" s="2"/>
      <c r="M2" s="2"/>
      <c r="N2" s="2"/>
      <c r="O2" s="2"/>
    </row>
    <row r="3" spans="1:20" x14ac:dyDescent="0.2">
      <c r="A3">
        <v>2017</v>
      </c>
      <c r="B3" t="s">
        <v>1</v>
      </c>
      <c r="C3" t="str">
        <f t="shared" si="0"/>
        <v>February</v>
      </c>
      <c r="D3" s="10">
        <v>50896</v>
      </c>
      <c r="E3" s="10">
        <v>10452</v>
      </c>
      <c r="F3" s="2"/>
      <c r="G3" s="2"/>
      <c r="H3" s="2"/>
      <c r="I3" s="2"/>
      <c r="J3" s="2"/>
      <c r="K3" s="2"/>
      <c r="L3" s="2"/>
      <c r="M3" s="2"/>
      <c r="N3" s="2"/>
    </row>
    <row r="4" spans="1:20" x14ac:dyDescent="0.2">
      <c r="A4">
        <v>2017</v>
      </c>
      <c r="B4" t="s">
        <v>2</v>
      </c>
      <c r="C4" t="str">
        <f t="shared" si="0"/>
        <v>March</v>
      </c>
      <c r="D4" s="10">
        <v>53452</v>
      </c>
      <c r="E4" s="10">
        <v>10965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2">
      <c r="A5">
        <v>2017</v>
      </c>
      <c r="B5" t="s">
        <v>3</v>
      </c>
      <c r="C5" t="str">
        <f t="shared" si="0"/>
        <v>April</v>
      </c>
      <c r="D5" s="10">
        <v>54096</v>
      </c>
      <c r="E5" s="10">
        <v>11254</v>
      </c>
      <c r="F5" s="2"/>
      <c r="G5" s="2"/>
      <c r="H5" s="2"/>
      <c r="I5" s="2"/>
      <c r="J5" s="2"/>
      <c r="K5" s="2"/>
      <c r="L5" s="2"/>
      <c r="M5" s="2"/>
      <c r="N5" s="2"/>
      <c r="S5" s="2"/>
    </row>
    <row r="6" spans="1:20" ht="24" customHeight="1" x14ac:dyDescent="0.2">
      <c r="A6">
        <v>2017</v>
      </c>
      <c r="B6" t="s">
        <v>4</v>
      </c>
      <c r="C6" t="str">
        <f t="shared" si="0"/>
        <v>May</v>
      </c>
      <c r="D6" s="10">
        <v>55054</v>
      </c>
      <c r="E6" s="10">
        <v>12698</v>
      </c>
      <c r="F6" s="2"/>
      <c r="G6" s="2"/>
      <c r="H6" s="2"/>
      <c r="I6" s="2"/>
      <c r="J6" s="2"/>
      <c r="K6" s="2"/>
      <c r="L6" s="2"/>
      <c r="M6" s="2"/>
      <c r="N6" s="2"/>
      <c r="S6" s="2"/>
    </row>
    <row r="7" spans="1:20" x14ac:dyDescent="0.2">
      <c r="A7">
        <v>2017</v>
      </c>
      <c r="B7" t="s">
        <v>5</v>
      </c>
      <c r="C7" t="str">
        <f t="shared" si="0"/>
        <v>June</v>
      </c>
      <c r="D7" s="10">
        <v>55998</v>
      </c>
      <c r="E7" s="10">
        <v>13965</v>
      </c>
      <c r="F7" s="2"/>
      <c r="G7" s="2"/>
      <c r="H7" s="2"/>
      <c r="I7" s="2"/>
      <c r="J7" s="2"/>
      <c r="K7" s="2"/>
      <c r="L7" s="2"/>
      <c r="M7" s="2"/>
      <c r="N7" s="2"/>
      <c r="S7" s="2"/>
    </row>
    <row r="8" spans="1:20" x14ac:dyDescent="0.2">
      <c r="A8">
        <v>2017</v>
      </c>
      <c r="B8" t="s">
        <v>6</v>
      </c>
      <c r="C8" t="str">
        <f t="shared" si="0"/>
        <v>July</v>
      </c>
      <c r="D8" s="10">
        <v>55950</v>
      </c>
      <c r="E8" s="10">
        <v>14023</v>
      </c>
      <c r="F8" s="2"/>
      <c r="G8" s="2"/>
      <c r="H8" s="2"/>
      <c r="I8" s="2"/>
      <c r="J8" s="2"/>
      <c r="K8" s="2"/>
      <c r="L8" s="2"/>
      <c r="M8" s="2"/>
      <c r="N8" s="2"/>
      <c r="S8" s="2"/>
    </row>
    <row r="9" spans="1:20" x14ac:dyDescent="0.2">
      <c r="A9">
        <v>2017</v>
      </c>
      <c r="B9" t="s">
        <v>30</v>
      </c>
      <c r="C9" t="str">
        <f t="shared" si="0"/>
        <v>August</v>
      </c>
      <c r="D9" s="10">
        <v>55580</v>
      </c>
      <c r="E9" s="10">
        <v>12365</v>
      </c>
      <c r="F9" s="2"/>
      <c r="G9" s="2"/>
      <c r="H9" s="2"/>
      <c r="I9" s="2"/>
      <c r="J9" s="2"/>
      <c r="K9" s="2"/>
      <c r="L9" s="2"/>
      <c r="M9" s="2"/>
      <c r="S9" s="2"/>
    </row>
    <row r="10" spans="1:20" x14ac:dyDescent="0.2">
      <c r="A10">
        <v>2017</v>
      </c>
      <c r="B10" t="s">
        <v>29</v>
      </c>
      <c r="C10" t="str">
        <f t="shared" si="0"/>
        <v>September</v>
      </c>
      <c r="D10" s="10">
        <v>54570</v>
      </c>
      <c r="E10" s="10">
        <v>12547</v>
      </c>
      <c r="F10" s="2"/>
      <c r="G10" s="2"/>
      <c r="H10" s="2"/>
      <c r="I10" s="2"/>
      <c r="J10" s="2"/>
      <c r="K10" s="2"/>
      <c r="L10" s="2"/>
      <c r="M10" s="2"/>
      <c r="N10" s="2"/>
    </row>
    <row r="11" spans="1:20" x14ac:dyDescent="0.2">
      <c r="A11">
        <v>2017</v>
      </c>
      <c r="B11" t="s">
        <v>9</v>
      </c>
      <c r="C11" t="str">
        <f t="shared" si="0"/>
        <v>October</v>
      </c>
      <c r="D11" s="10">
        <v>50652</v>
      </c>
      <c r="E11" s="10">
        <v>11369</v>
      </c>
      <c r="F11" s="2"/>
      <c r="G11" s="2"/>
      <c r="H11" s="2"/>
      <c r="I11" s="2"/>
      <c r="J11" s="2"/>
      <c r="K11" s="2"/>
      <c r="L11" s="2"/>
      <c r="M11" s="2"/>
      <c r="S11" s="2"/>
    </row>
    <row r="12" spans="1:20" x14ac:dyDescent="0.2">
      <c r="A12">
        <v>2017</v>
      </c>
      <c r="B12" t="s">
        <v>27</v>
      </c>
      <c r="C12" t="str">
        <f t="shared" si="0"/>
        <v>November</v>
      </c>
      <c r="D12" s="10">
        <v>50865</v>
      </c>
      <c r="E12" s="10">
        <v>12006</v>
      </c>
      <c r="F12" s="2"/>
      <c r="G12" s="2"/>
      <c r="H12" s="2"/>
      <c r="I12" s="2"/>
      <c r="J12" s="2"/>
      <c r="K12" s="2"/>
      <c r="L12" s="2"/>
      <c r="M12" s="2"/>
      <c r="S12" s="2"/>
    </row>
    <row r="13" spans="1:20" x14ac:dyDescent="0.2">
      <c r="A13">
        <v>2017</v>
      </c>
      <c r="B13" t="s">
        <v>11</v>
      </c>
      <c r="C13" t="str">
        <f t="shared" si="0"/>
        <v>December</v>
      </c>
      <c r="D13" s="10">
        <v>53435</v>
      </c>
      <c r="E13" s="10">
        <v>12987</v>
      </c>
      <c r="F13" s="2"/>
      <c r="G13" s="2"/>
      <c r="H13" s="2"/>
      <c r="I13" s="2"/>
      <c r="J13" s="2"/>
      <c r="K13" s="2"/>
      <c r="L13" s="2"/>
      <c r="M13" s="2"/>
      <c r="S13" s="2"/>
    </row>
    <row r="14" spans="1:20" x14ac:dyDescent="0.2">
      <c r="A14">
        <v>2018</v>
      </c>
      <c r="B14" t="s">
        <v>28</v>
      </c>
      <c r="C14" t="str">
        <f t="shared" si="0"/>
        <v>January</v>
      </c>
      <c r="D14" s="10">
        <v>56320</v>
      </c>
      <c r="E14" s="10">
        <v>11658</v>
      </c>
      <c r="F14" s="2"/>
      <c r="G14" s="2"/>
      <c r="H14" s="2"/>
      <c r="I14" s="2"/>
      <c r="J14" s="2"/>
      <c r="K14" s="2"/>
      <c r="L14" s="2"/>
      <c r="M14" s="2"/>
      <c r="S14" s="2"/>
    </row>
    <row r="15" spans="1:20" x14ac:dyDescent="0.2">
      <c r="A15">
        <v>2018</v>
      </c>
      <c r="B15" t="s">
        <v>1</v>
      </c>
      <c r="C15" t="str">
        <f t="shared" si="0"/>
        <v>February</v>
      </c>
      <c r="D15" s="10">
        <v>53065</v>
      </c>
      <c r="E15" s="10">
        <v>10369</v>
      </c>
      <c r="F15" s="2"/>
      <c r="G15" s="2"/>
      <c r="H15" s="2"/>
      <c r="I15" s="2"/>
      <c r="J15" s="2"/>
      <c r="K15" s="2"/>
      <c r="L15" s="2"/>
      <c r="M15" s="2"/>
      <c r="S15" s="2"/>
    </row>
    <row r="16" spans="1:20" x14ac:dyDescent="0.2">
      <c r="A16">
        <v>2018</v>
      </c>
      <c r="B16" t="s">
        <v>2</v>
      </c>
      <c r="C16" t="str">
        <f t="shared" si="0"/>
        <v>March</v>
      </c>
      <c r="D16" s="10">
        <v>55125</v>
      </c>
      <c r="E16" s="10">
        <v>12985</v>
      </c>
      <c r="F16" s="2"/>
      <c r="G16" s="2"/>
      <c r="H16" s="2"/>
      <c r="I16" s="2"/>
      <c r="J16" s="2"/>
      <c r="K16" s="2"/>
      <c r="L16" s="2"/>
      <c r="M16" s="2"/>
      <c r="S16" s="2"/>
    </row>
    <row r="17" spans="1:19" x14ac:dyDescent="0.2">
      <c r="A17">
        <v>2018</v>
      </c>
      <c r="B17" t="s">
        <v>3</v>
      </c>
      <c r="C17" t="str">
        <f t="shared" si="0"/>
        <v>April</v>
      </c>
      <c r="D17" s="10">
        <v>56002</v>
      </c>
      <c r="E17" s="10">
        <v>13005</v>
      </c>
      <c r="F17" s="2"/>
      <c r="G17" s="2"/>
      <c r="H17" s="2"/>
      <c r="I17" s="2"/>
      <c r="J17" s="2"/>
      <c r="K17" s="2"/>
      <c r="L17" s="2"/>
      <c r="M17" s="2"/>
      <c r="S17" s="2"/>
    </row>
    <row r="18" spans="1:19" x14ac:dyDescent="0.2">
      <c r="A18">
        <v>2018</v>
      </c>
      <c r="B18" t="s">
        <v>4</v>
      </c>
      <c r="C18" t="str">
        <f t="shared" si="0"/>
        <v>May</v>
      </c>
      <c r="D18" s="10">
        <v>56987</v>
      </c>
      <c r="E18" s="10">
        <v>13658</v>
      </c>
      <c r="F18" s="2"/>
      <c r="G18" s="2"/>
      <c r="H18" s="2"/>
      <c r="I18" s="2"/>
      <c r="J18" s="2"/>
      <c r="K18" s="2"/>
      <c r="L18" s="2"/>
      <c r="M18" s="2"/>
      <c r="S18" s="2"/>
    </row>
    <row r="19" spans="1:19" x14ac:dyDescent="0.2">
      <c r="A19">
        <v>2018</v>
      </c>
      <c r="B19" t="s">
        <v>5</v>
      </c>
      <c r="C19" t="str">
        <f t="shared" si="0"/>
        <v>June</v>
      </c>
      <c r="D19" s="10">
        <v>57631</v>
      </c>
      <c r="E19" s="10">
        <v>14652</v>
      </c>
      <c r="F19" s="2"/>
      <c r="G19" s="2"/>
      <c r="H19" s="2"/>
      <c r="I19" s="2"/>
      <c r="J19" s="2"/>
      <c r="K19" s="2"/>
      <c r="L19" s="2"/>
      <c r="M19" s="2"/>
      <c r="S19" s="2"/>
    </row>
    <row r="20" spans="1:19" x14ac:dyDescent="0.2">
      <c r="A20">
        <v>2018</v>
      </c>
      <c r="B20" t="s">
        <v>6</v>
      </c>
      <c r="C20" t="str">
        <f t="shared" si="0"/>
        <v>July</v>
      </c>
      <c r="D20" s="10">
        <v>57548</v>
      </c>
      <c r="E20" s="10">
        <v>14996</v>
      </c>
      <c r="F20" s="2"/>
      <c r="G20" s="2"/>
      <c r="H20" s="2"/>
      <c r="I20" s="2"/>
      <c r="J20" s="2"/>
      <c r="K20" s="2"/>
      <c r="L20" s="2"/>
      <c r="M20" s="2"/>
      <c r="S20" s="2"/>
    </row>
    <row r="21" spans="1:19" x14ac:dyDescent="0.2">
      <c r="A21">
        <v>2018</v>
      </c>
      <c r="B21" t="s">
        <v>7</v>
      </c>
      <c r="C21" t="str">
        <f t="shared" si="0"/>
        <v>August</v>
      </c>
      <c r="D21" s="10">
        <v>56369</v>
      </c>
      <c r="E21" s="10">
        <v>13985</v>
      </c>
      <c r="F21" s="2"/>
      <c r="G21" s="2"/>
      <c r="H21" s="2"/>
      <c r="I21" s="2"/>
      <c r="J21" s="2"/>
      <c r="K21" s="2"/>
      <c r="L21" s="2"/>
      <c r="M21" s="2"/>
      <c r="S21" s="2"/>
    </row>
    <row r="22" spans="1:19" x14ac:dyDescent="0.2">
      <c r="A22">
        <v>2018</v>
      </c>
      <c r="B22" t="s">
        <v>8</v>
      </c>
      <c r="C22" t="str">
        <f t="shared" si="0"/>
        <v>September</v>
      </c>
      <c r="D22" s="10">
        <v>56239</v>
      </c>
      <c r="E22" s="10">
        <v>13526</v>
      </c>
      <c r="F22" s="2"/>
      <c r="G22" s="2"/>
      <c r="H22" s="2"/>
      <c r="I22" s="2"/>
      <c r="J22" s="2"/>
      <c r="K22" s="2"/>
      <c r="L22" s="2"/>
      <c r="M22" s="2"/>
      <c r="S22" s="2"/>
    </row>
    <row r="23" spans="1:19" x14ac:dyDescent="0.2">
      <c r="A23">
        <v>2018</v>
      </c>
      <c r="B23" t="s">
        <v>9</v>
      </c>
      <c r="C23" t="str">
        <f t="shared" si="0"/>
        <v>October</v>
      </c>
      <c r="D23" s="10">
        <v>52469</v>
      </c>
      <c r="E23" s="10">
        <v>13224</v>
      </c>
      <c r="F23" s="2"/>
      <c r="G23" s="2"/>
      <c r="H23" s="2"/>
      <c r="I23" s="2"/>
      <c r="J23" s="2"/>
      <c r="K23" s="2"/>
      <c r="L23" s="2"/>
      <c r="M23" s="2"/>
      <c r="S23" s="2"/>
    </row>
    <row r="24" spans="1:19" x14ac:dyDescent="0.2">
      <c r="A24">
        <v>2018</v>
      </c>
      <c r="B24" t="s">
        <v>27</v>
      </c>
      <c r="C24" t="str">
        <f t="shared" si="0"/>
        <v>November</v>
      </c>
      <c r="D24" s="10">
        <v>52307</v>
      </c>
      <c r="E24" s="10">
        <v>12036</v>
      </c>
      <c r="F24" s="2"/>
      <c r="G24" s="2"/>
      <c r="H24" s="2"/>
      <c r="I24" s="2"/>
      <c r="J24" s="2"/>
      <c r="K24" s="2"/>
      <c r="L24" s="2"/>
      <c r="M24" s="2"/>
      <c r="S24" s="2"/>
    </row>
    <row r="25" spans="1:19" x14ac:dyDescent="0.2">
      <c r="A25">
        <v>2018</v>
      </c>
      <c r="B25" t="s">
        <v>11</v>
      </c>
      <c r="C25" t="str">
        <f t="shared" si="0"/>
        <v>December</v>
      </c>
      <c r="D25" s="10">
        <v>55557</v>
      </c>
      <c r="E25" s="10">
        <v>14098</v>
      </c>
      <c r="F25" s="2"/>
      <c r="G25" s="2"/>
      <c r="H25" s="2"/>
      <c r="I25" s="2"/>
      <c r="J25" s="2"/>
      <c r="K25" s="2"/>
      <c r="L25" s="2"/>
      <c r="M25" s="2"/>
      <c r="S25" s="2"/>
    </row>
    <row r="26" spans="1:19" x14ac:dyDescent="0.2">
      <c r="A26">
        <v>2019</v>
      </c>
      <c r="B26" t="s">
        <v>0</v>
      </c>
      <c r="C26" t="str">
        <f t="shared" si="0"/>
        <v>January</v>
      </c>
      <c r="D26" s="10">
        <v>57890</v>
      </c>
      <c r="E26" s="10">
        <v>12365</v>
      </c>
      <c r="F26" s="2"/>
      <c r="G26" s="2"/>
      <c r="H26" s="2"/>
      <c r="I26" s="2"/>
      <c r="J26" s="2"/>
      <c r="K26" s="2"/>
      <c r="L26" s="2"/>
      <c r="M26" s="2"/>
    </row>
    <row r="27" spans="1:19" x14ac:dyDescent="0.2">
      <c r="A27">
        <v>2019</v>
      </c>
      <c r="B27" t="s">
        <v>1</v>
      </c>
      <c r="C27" t="str">
        <f t="shared" si="0"/>
        <v>February</v>
      </c>
      <c r="D27" s="10">
        <v>53985</v>
      </c>
      <c r="E27" s="10">
        <v>10036</v>
      </c>
      <c r="F27" s="2"/>
      <c r="G27" s="2"/>
      <c r="H27" s="2"/>
      <c r="I27" s="2"/>
      <c r="J27" s="2"/>
      <c r="K27" s="2"/>
      <c r="L27" s="2"/>
      <c r="M27" s="2"/>
    </row>
    <row r="28" spans="1:19" x14ac:dyDescent="0.2">
      <c r="A28">
        <v>2019</v>
      </c>
      <c r="B28" t="s">
        <v>2</v>
      </c>
      <c r="C28" t="str">
        <f t="shared" si="0"/>
        <v>March</v>
      </c>
      <c r="D28" s="10">
        <v>52047</v>
      </c>
      <c r="E28" s="10">
        <v>10962</v>
      </c>
      <c r="F28" s="2"/>
      <c r="G28" s="2"/>
      <c r="H28" s="2"/>
      <c r="I28" s="2"/>
      <c r="J28" s="2"/>
      <c r="K28" s="2"/>
      <c r="L28" s="2"/>
      <c r="M28" s="2"/>
    </row>
    <row r="29" spans="1:19" x14ac:dyDescent="0.2">
      <c r="A29">
        <v>2019</v>
      </c>
      <c r="B29" t="s">
        <v>25</v>
      </c>
      <c r="C29" t="str">
        <f t="shared" si="0"/>
        <v>April</v>
      </c>
      <c r="D29" s="10">
        <v>53987</v>
      </c>
      <c r="E29" s="10">
        <v>11698</v>
      </c>
      <c r="F29" s="2"/>
      <c r="G29" s="2"/>
      <c r="H29" s="2"/>
      <c r="I29" s="2"/>
      <c r="J29" s="2"/>
      <c r="K29" s="2"/>
      <c r="L29" s="2"/>
      <c r="M29" s="2"/>
    </row>
    <row r="30" spans="1:19" x14ac:dyDescent="0.2">
      <c r="A30">
        <v>2019</v>
      </c>
      <c r="B30" t="s">
        <v>4</v>
      </c>
      <c r="C30" t="str">
        <f t="shared" si="0"/>
        <v>May</v>
      </c>
      <c r="D30" s="10">
        <v>53965</v>
      </c>
      <c r="E30" s="10">
        <v>11458</v>
      </c>
      <c r="F30" s="2"/>
      <c r="G30" s="2"/>
      <c r="H30" s="2"/>
      <c r="I30" s="2"/>
      <c r="J30" s="2"/>
      <c r="K30" s="2"/>
      <c r="L30" s="2"/>
      <c r="M30" s="2"/>
    </row>
    <row r="31" spans="1:19" x14ac:dyDescent="0.2">
      <c r="A31">
        <v>2019</v>
      </c>
      <c r="B31" t="s">
        <v>5</v>
      </c>
      <c r="C31" t="str">
        <f t="shared" si="0"/>
        <v>June</v>
      </c>
      <c r="D31" s="10">
        <v>54026</v>
      </c>
      <c r="E31" s="10">
        <v>12985</v>
      </c>
      <c r="F31" s="2"/>
      <c r="G31" s="2"/>
      <c r="H31" s="2"/>
      <c r="I31" s="2"/>
      <c r="J31" s="2"/>
      <c r="K31" s="2"/>
      <c r="L31" s="2"/>
      <c r="M31" s="2"/>
    </row>
    <row r="32" spans="1:19" x14ac:dyDescent="0.2">
      <c r="A32">
        <v>2019</v>
      </c>
      <c r="B32" t="s">
        <v>6</v>
      </c>
      <c r="C32" t="str">
        <f t="shared" si="0"/>
        <v>July</v>
      </c>
      <c r="D32" s="10">
        <v>56354</v>
      </c>
      <c r="E32" s="10">
        <v>12658</v>
      </c>
      <c r="F32" s="2"/>
      <c r="G32" s="2"/>
      <c r="H32" s="2"/>
      <c r="I32" s="2"/>
      <c r="J32" s="2"/>
      <c r="K32" s="2"/>
      <c r="L32" s="2"/>
      <c r="M32" s="2"/>
    </row>
    <row r="33" spans="1:13" x14ac:dyDescent="0.2">
      <c r="A33">
        <v>2019</v>
      </c>
      <c r="B33" t="s">
        <v>7</v>
      </c>
      <c r="C33" t="str">
        <f t="shared" si="0"/>
        <v>August</v>
      </c>
      <c r="D33" s="10">
        <v>57231</v>
      </c>
      <c r="E33" s="10">
        <v>12014</v>
      </c>
      <c r="F33" s="2"/>
      <c r="G33" s="2"/>
      <c r="H33" s="2"/>
      <c r="I33" s="2"/>
      <c r="J33" s="2"/>
      <c r="K33" s="2"/>
      <c r="L33" s="2"/>
      <c r="M33" s="2"/>
    </row>
    <row r="34" spans="1:13" x14ac:dyDescent="0.2">
      <c r="A34">
        <v>2019</v>
      </c>
      <c r="B34" t="s">
        <v>8</v>
      </c>
      <c r="C34" t="str">
        <f t="shared" ref="C34:C61" si="1">TRIM(+PROPER(+CLEAN(B34)))</f>
        <v>September</v>
      </c>
      <c r="D34" s="10">
        <v>57386</v>
      </c>
      <c r="E34" s="10">
        <v>11968</v>
      </c>
      <c r="F34" s="2"/>
      <c r="G34" s="2"/>
      <c r="H34" s="2"/>
      <c r="I34" s="2"/>
      <c r="J34" s="2"/>
      <c r="K34" s="2"/>
      <c r="L34" s="2"/>
      <c r="M34" s="2"/>
    </row>
    <row r="35" spans="1:13" x14ac:dyDescent="0.2">
      <c r="A35">
        <v>2019</v>
      </c>
      <c r="B35" t="s">
        <v>26</v>
      </c>
      <c r="C35" t="str">
        <f t="shared" si="1"/>
        <v>October</v>
      </c>
      <c r="D35" s="10">
        <v>52762</v>
      </c>
      <c r="E35" s="10">
        <v>11985</v>
      </c>
      <c r="F35" s="2"/>
      <c r="G35" s="2"/>
      <c r="H35" s="2"/>
      <c r="I35" s="2"/>
      <c r="J35" s="2"/>
      <c r="K35" s="2"/>
      <c r="L35" s="2"/>
      <c r="M35" s="2"/>
    </row>
    <row r="36" spans="1:13" x14ac:dyDescent="0.2">
      <c r="A36">
        <v>2019</v>
      </c>
      <c r="B36" t="s">
        <v>10</v>
      </c>
      <c r="C36" t="str">
        <f t="shared" si="1"/>
        <v>November</v>
      </c>
      <c r="D36" s="10">
        <v>52964</v>
      </c>
      <c r="E36" s="10">
        <v>10956</v>
      </c>
      <c r="F36" s="2"/>
      <c r="G36" s="2"/>
      <c r="H36" s="2"/>
      <c r="I36" s="2"/>
      <c r="J36" s="2"/>
      <c r="K36" s="2"/>
      <c r="L36" s="2"/>
      <c r="M36" s="2"/>
    </row>
    <row r="37" spans="1:13" x14ac:dyDescent="0.2">
      <c r="A37">
        <v>2019</v>
      </c>
      <c r="B37" t="s">
        <v>11</v>
      </c>
      <c r="C37" t="str">
        <f t="shared" si="1"/>
        <v>December</v>
      </c>
      <c r="D37" s="10">
        <v>55761</v>
      </c>
      <c r="E37" s="10">
        <v>14985</v>
      </c>
      <c r="F37" s="2"/>
      <c r="G37" s="2"/>
      <c r="H37" s="2"/>
      <c r="I37" s="2"/>
      <c r="J37" s="2"/>
      <c r="K37" s="2"/>
      <c r="L37" s="2"/>
      <c r="M37" s="2"/>
    </row>
    <row r="38" spans="1:13" x14ac:dyDescent="0.2">
      <c r="A38">
        <v>2020</v>
      </c>
      <c r="B38" t="s">
        <v>0</v>
      </c>
      <c r="C38" t="str">
        <f t="shared" si="1"/>
        <v>January</v>
      </c>
      <c r="D38" s="10">
        <v>58950</v>
      </c>
      <c r="E38" s="10">
        <v>14236</v>
      </c>
      <c r="F38" s="2"/>
      <c r="G38" s="2"/>
      <c r="H38" s="2"/>
      <c r="I38" s="2"/>
      <c r="J38" s="2"/>
      <c r="K38" s="2"/>
      <c r="L38" s="2"/>
      <c r="M38" s="2"/>
    </row>
    <row r="39" spans="1:13" x14ac:dyDescent="0.2">
      <c r="A39">
        <v>2020</v>
      </c>
      <c r="B39" t="s">
        <v>1</v>
      </c>
      <c r="C39" t="str">
        <f t="shared" si="1"/>
        <v>February</v>
      </c>
      <c r="D39" s="10">
        <v>55654</v>
      </c>
      <c r="E39" s="10">
        <v>12698</v>
      </c>
      <c r="F39" s="2"/>
      <c r="G39" s="2"/>
      <c r="H39" s="2"/>
      <c r="I39" s="2"/>
      <c r="J39" s="2"/>
      <c r="K39" s="2"/>
      <c r="L39" s="2"/>
      <c r="M39" s="2"/>
    </row>
    <row r="40" spans="1:13" x14ac:dyDescent="0.2">
      <c r="A40">
        <v>2020</v>
      </c>
      <c r="B40" t="s">
        <v>2</v>
      </c>
      <c r="C40" t="str">
        <f t="shared" si="1"/>
        <v>March</v>
      </c>
      <c r="D40" s="10">
        <v>56584</v>
      </c>
      <c r="E40" s="10">
        <v>13114</v>
      </c>
      <c r="F40" s="2"/>
      <c r="G40" s="2"/>
      <c r="H40" s="2"/>
      <c r="I40" s="2"/>
      <c r="J40" s="2"/>
      <c r="K40" s="2"/>
      <c r="L40" s="2"/>
      <c r="M40" s="2"/>
    </row>
    <row r="41" spans="1:13" x14ac:dyDescent="0.2">
      <c r="A41">
        <v>2020</v>
      </c>
      <c r="B41" t="s">
        <v>25</v>
      </c>
      <c r="C41" t="str">
        <f t="shared" si="1"/>
        <v>April</v>
      </c>
      <c r="D41" s="10">
        <v>57845</v>
      </c>
      <c r="E41" s="10">
        <v>13247</v>
      </c>
      <c r="F41" s="2"/>
      <c r="G41" s="2"/>
      <c r="H41" s="2"/>
      <c r="I41" s="2"/>
      <c r="J41" s="2"/>
      <c r="K41" s="2"/>
      <c r="L41" s="2"/>
      <c r="M41" s="2"/>
    </row>
    <row r="42" spans="1:13" x14ac:dyDescent="0.2">
      <c r="A42">
        <v>2020</v>
      </c>
      <c r="B42" t="s">
        <v>4</v>
      </c>
      <c r="C42" t="str">
        <f t="shared" si="1"/>
        <v>May</v>
      </c>
      <c r="D42" s="10">
        <v>58987</v>
      </c>
      <c r="E42" s="10">
        <v>13655</v>
      </c>
      <c r="F42" s="2"/>
      <c r="G42" s="2"/>
      <c r="H42" s="2"/>
      <c r="I42" s="2"/>
      <c r="J42" s="2"/>
      <c r="K42" s="2"/>
      <c r="L42" s="2"/>
      <c r="M42" s="2"/>
    </row>
    <row r="43" spans="1:13" x14ac:dyDescent="0.2">
      <c r="A43">
        <v>2020</v>
      </c>
      <c r="B43" t="s">
        <v>5</v>
      </c>
      <c r="C43" t="str">
        <f t="shared" si="1"/>
        <v>June</v>
      </c>
      <c r="D43" s="10">
        <v>59998</v>
      </c>
      <c r="E43" s="10">
        <v>14698</v>
      </c>
      <c r="F43" s="2"/>
      <c r="G43" s="2"/>
      <c r="H43" s="2"/>
      <c r="I43" s="2"/>
      <c r="J43" s="2"/>
      <c r="K43" s="2"/>
      <c r="L43" s="2"/>
      <c r="M43" s="2"/>
    </row>
    <row r="44" spans="1:13" x14ac:dyDescent="0.2">
      <c r="A44">
        <v>2020</v>
      </c>
      <c r="B44" t="s">
        <v>24</v>
      </c>
      <c r="C44" t="str">
        <f t="shared" si="1"/>
        <v>July</v>
      </c>
      <c r="D44" s="10">
        <v>59651</v>
      </c>
      <c r="E44" s="10">
        <v>14569</v>
      </c>
      <c r="F44" s="2"/>
      <c r="G44" s="2"/>
      <c r="H44" s="2"/>
      <c r="I44" s="2"/>
      <c r="J44" s="2"/>
      <c r="K44" s="2"/>
      <c r="L44" s="2"/>
      <c r="M44" s="2"/>
    </row>
    <row r="45" spans="1:13" x14ac:dyDescent="0.2">
      <c r="A45">
        <v>2020</v>
      </c>
      <c r="B45" t="s">
        <v>7</v>
      </c>
      <c r="C45" t="str">
        <f t="shared" si="1"/>
        <v>August</v>
      </c>
      <c r="D45" s="10">
        <v>58965</v>
      </c>
      <c r="E45" s="10">
        <v>12495</v>
      </c>
      <c r="F45" s="2"/>
      <c r="G45" s="2"/>
      <c r="H45" s="2"/>
      <c r="I45" s="2"/>
      <c r="J45" s="2"/>
      <c r="K45" s="2"/>
      <c r="L45" s="2"/>
      <c r="M45" s="2"/>
    </row>
    <row r="46" spans="1:13" x14ac:dyDescent="0.2">
      <c r="A46">
        <v>2020</v>
      </c>
      <c r="B46" t="s">
        <v>19</v>
      </c>
      <c r="C46" t="str">
        <f t="shared" si="1"/>
        <v>September</v>
      </c>
      <c r="D46" s="10">
        <v>58463</v>
      </c>
      <c r="E46" s="10">
        <v>12365</v>
      </c>
      <c r="F46" s="2"/>
      <c r="G46" s="2"/>
      <c r="H46" s="2"/>
      <c r="I46" s="2"/>
      <c r="J46" s="2"/>
      <c r="K46" s="2"/>
      <c r="L46" s="2"/>
      <c r="M46" s="2"/>
    </row>
    <row r="47" spans="1:13" x14ac:dyDescent="0.2">
      <c r="A47">
        <v>2020</v>
      </c>
      <c r="B47" t="s">
        <v>23</v>
      </c>
      <c r="C47" t="str">
        <f t="shared" si="1"/>
        <v>October</v>
      </c>
      <c r="D47" s="10">
        <v>52804</v>
      </c>
      <c r="E47" s="10">
        <v>11365</v>
      </c>
      <c r="F47" s="2"/>
      <c r="G47" s="2"/>
      <c r="H47" s="2"/>
      <c r="I47" s="2"/>
      <c r="J47" s="2"/>
      <c r="K47" s="2"/>
      <c r="L47" s="2"/>
      <c r="M47" s="2"/>
    </row>
    <row r="48" spans="1:13" x14ac:dyDescent="0.2">
      <c r="A48">
        <v>2020</v>
      </c>
      <c r="B48" t="s">
        <v>10</v>
      </c>
      <c r="C48" t="str">
        <f t="shared" si="1"/>
        <v>November</v>
      </c>
      <c r="D48" s="10">
        <v>53792</v>
      </c>
      <c r="E48" s="10">
        <v>11098</v>
      </c>
      <c r="F48" s="2"/>
      <c r="G48" s="2"/>
      <c r="H48" s="2"/>
      <c r="I48" s="2"/>
      <c r="J48" s="2"/>
      <c r="K48" s="2"/>
      <c r="L48" s="2"/>
      <c r="M48" s="2"/>
    </row>
    <row r="49" spans="1:13" x14ac:dyDescent="0.2">
      <c r="A49">
        <v>2020</v>
      </c>
      <c r="B49" t="s">
        <v>11</v>
      </c>
      <c r="C49" t="str">
        <f t="shared" si="1"/>
        <v>December</v>
      </c>
      <c r="D49" s="10">
        <v>58411</v>
      </c>
      <c r="E49" s="10">
        <v>15032</v>
      </c>
      <c r="F49" s="2"/>
      <c r="G49" s="2"/>
      <c r="H49" s="2"/>
      <c r="I49" s="2"/>
      <c r="J49" s="2"/>
      <c r="K49" s="2"/>
      <c r="L49" s="2"/>
      <c r="M49" s="2"/>
    </row>
    <row r="50" spans="1:13" x14ac:dyDescent="0.2">
      <c r="A50">
        <v>2021</v>
      </c>
      <c r="B50" t="s">
        <v>0</v>
      </c>
      <c r="C50" t="str">
        <f t="shared" si="1"/>
        <v>January</v>
      </c>
      <c r="D50" s="10">
        <v>61089</v>
      </c>
      <c r="E50" s="10">
        <v>14698</v>
      </c>
      <c r="F50" s="2"/>
      <c r="G50" s="2"/>
      <c r="H50" s="2"/>
      <c r="I50" s="2"/>
      <c r="J50" s="2"/>
      <c r="K50" s="2"/>
      <c r="L50" s="2"/>
      <c r="M50" s="2"/>
    </row>
    <row r="51" spans="1:13" x14ac:dyDescent="0.2">
      <c r="A51">
        <v>2021</v>
      </c>
      <c r="B51" t="s">
        <v>1</v>
      </c>
      <c r="C51" t="str">
        <f t="shared" si="1"/>
        <v>February</v>
      </c>
      <c r="D51" s="10">
        <v>57985</v>
      </c>
      <c r="E51" s="10">
        <v>11684</v>
      </c>
      <c r="F51" s="2"/>
      <c r="G51" s="2"/>
      <c r="H51" s="2"/>
      <c r="I51" s="2"/>
      <c r="J51" s="2"/>
      <c r="K51" s="2"/>
      <c r="L51" s="2"/>
      <c r="M51" s="2"/>
    </row>
    <row r="52" spans="1:13" x14ac:dyDescent="0.2">
      <c r="A52">
        <v>2021</v>
      </c>
      <c r="B52" t="s">
        <v>18</v>
      </c>
      <c r="C52" t="str">
        <f t="shared" si="1"/>
        <v>March</v>
      </c>
      <c r="D52" s="10">
        <v>59658</v>
      </c>
      <c r="E52" s="10">
        <v>12365</v>
      </c>
      <c r="F52" s="2"/>
      <c r="G52" s="2"/>
      <c r="H52" s="2"/>
      <c r="I52" s="2"/>
      <c r="J52" s="2"/>
      <c r="K52" s="2"/>
      <c r="L52" s="2"/>
      <c r="M52" s="2"/>
    </row>
    <row r="53" spans="1:13" x14ac:dyDescent="0.2">
      <c r="A53">
        <v>2021</v>
      </c>
      <c r="B53" t="s">
        <v>22</v>
      </c>
      <c r="C53" t="str">
        <f t="shared" si="1"/>
        <v>April</v>
      </c>
      <c r="D53" s="10">
        <v>60584</v>
      </c>
      <c r="E53" s="10">
        <v>14569</v>
      </c>
      <c r="F53" s="2"/>
      <c r="G53" s="2"/>
      <c r="H53" s="2"/>
      <c r="I53" s="2"/>
      <c r="J53" s="2"/>
      <c r="K53" s="2"/>
      <c r="L53" s="2"/>
      <c r="M53" s="2"/>
    </row>
    <row r="54" spans="1:13" x14ac:dyDescent="0.2">
      <c r="A54">
        <v>2021</v>
      </c>
      <c r="B54" t="s">
        <v>4</v>
      </c>
      <c r="C54" t="str">
        <f t="shared" si="1"/>
        <v>May</v>
      </c>
      <c r="D54" s="11">
        <v>61025</v>
      </c>
      <c r="E54" s="11">
        <v>15847</v>
      </c>
      <c r="F54" s="2"/>
      <c r="G54" s="2"/>
      <c r="H54" s="2"/>
      <c r="I54" s="2"/>
      <c r="J54" s="2"/>
      <c r="K54" s="2"/>
      <c r="L54" s="2"/>
      <c r="M54" s="2"/>
    </row>
    <row r="55" spans="1:13" x14ac:dyDescent="0.2">
      <c r="A55">
        <v>2021</v>
      </c>
      <c r="B55" t="s">
        <v>5</v>
      </c>
      <c r="C55" t="str">
        <f t="shared" si="1"/>
        <v>June</v>
      </c>
      <c r="D55" s="10">
        <v>60199</v>
      </c>
      <c r="E55" s="10">
        <v>16558</v>
      </c>
      <c r="F55" s="2"/>
      <c r="G55" s="2"/>
      <c r="H55" s="2"/>
      <c r="I55" s="2"/>
      <c r="J55" s="2"/>
      <c r="K55" s="2"/>
      <c r="L55" s="2"/>
      <c r="M55" s="2"/>
    </row>
    <row r="56" spans="1:13" x14ac:dyDescent="0.2">
      <c r="A56">
        <v>2021</v>
      </c>
      <c r="B56" t="s">
        <v>6</v>
      </c>
      <c r="C56" t="str">
        <f t="shared" si="1"/>
        <v>July</v>
      </c>
      <c r="D56" s="10">
        <v>60185</v>
      </c>
      <c r="E56" s="10">
        <v>15698</v>
      </c>
      <c r="F56" s="2"/>
      <c r="G56" s="2"/>
      <c r="H56" s="2"/>
      <c r="I56" s="2"/>
      <c r="J56" s="2"/>
      <c r="K56" s="2"/>
      <c r="L56" s="2"/>
      <c r="M56" s="2"/>
    </row>
    <row r="57" spans="1:13" ht="32" x14ac:dyDescent="0.2">
      <c r="A57">
        <v>2021</v>
      </c>
      <c r="B57" s="1" t="s">
        <v>21</v>
      </c>
      <c r="C57" t="str">
        <f t="shared" si="1"/>
        <v>August</v>
      </c>
      <c r="D57" s="10">
        <v>59999</v>
      </c>
      <c r="E57" s="10">
        <v>14985</v>
      </c>
      <c r="F57" s="2"/>
      <c r="G57" s="2"/>
      <c r="H57" s="2"/>
      <c r="I57" s="2"/>
      <c r="J57" s="2"/>
      <c r="K57" s="2"/>
      <c r="L57" s="2"/>
      <c r="M57" s="2"/>
    </row>
    <row r="58" spans="1:13" x14ac:dyDescent="0.2">
      <c r="A58">
        <v>2021</v>
      </c>
      <c r="B58" t="s">
        <v>17</v>
      </c>
      <c r="C58" t="str">
        <f t="shared" si="1"/>
        <v>September</v>
      </c>
      <c r="D58" s="10">
        <v>59243</v>
      </c>
      <c r="E58" s="10">
        <v>13695</v>
      </c>
      <c r="F58" s="2"/>
      <c r="G58" s="2"/>
      <c r="H58" s="2"/>
      <c r="I58" s="2"/>
      <c r="J58" s="2"/>
      <c r="K58" s="2"/>
      <c r="L58" s="2"/>
      <c r="M58" s="2"/>
    </row>
    <row r="59" spans="1:13" x14ac:dyDescent="0.2">
      <c r="A59">
        <v>2021</v>
      </c>
      <c r="B59" t="s">
        <v>9</v>
      </c>
      <c r="C59" t="str">
        <f t="shared" si="1"/>
        <v>October</v>
      </c>
      <c r="D59" s="10">
        <v>53095</v>
      </c>
      <c r="E59" s="10">
        <v>12652</v>
      </c>
      <c r="F59" s="2"/>
      <c r="G59" s="2"/>
      <c r="H59" s="2"/>
      <c r="I59" s="2"/>
      <c r="J59" s="2"/>
      <c r="K59" s="2"/>
      <c r="L59" s="2"/>
      <c r="M59" s="2"/>
    </row>
    <row r="60" spans="1:13" x14ac:dyDescent="0.2">
      <c r="A60">
        <v>2021</v>
      </c>
      <c r="B60" t="s">
        <v>10</v>
      </c>
      <c r="C60" t="str">
        <f t="shared" si="1"/>
        <v>November</v>
      </c>
      <c r="D60" s="10">
        <v>53811</v>
      </c>
      <c r="E60" s="10">
        <v>11565</v>
      </c>
      <c r="F60" s="2"/>
      <c r="G60" s="2"/>
      <c r="H60" s="2"/>
      <c r="I60" s="2"/>
      <c r="J60" s="2"/>
      <c r="K60" s="2"/>
      <c r="L60" s="2"/>
      <c r="M60" s="2"/>
    </row>
    <row r="61" spans="1:13" x14ac:dyDescent="0.2">
      <c r="A61">
        <v>2021</v>
      </c>
      <c r="B61" t="s">
        <v>11</v>
      </c>
      <c r="C61" t="str">
        <f t="shared" si="1"/>
        <v>December</v>
      </c>
      <c r="D61" s="10">
        <v>60049</v>
      </c>
      <c r="E61" s="10">
        <v>15989</v>
      </c>
      <c r="F61" s="2"/>
      <c r="G61" s="2"/>
      <c r="H61" s="2"/>
      <c r="I61" s="2"/>
      <c r="J61" s="2"/>
      <c r="K61" s="2"/>
      <c r="L61" s="2"/>
      <c r="M61" s="2"/>
    </row>
    <row r="62" spans="1:13" x14ac:dyDescent="0.2">
      <c r="E62"/>
      <c r="F62" s="2"/>
      <c r="G62" s="2"/>
      <c r="H62" s="2"/>
      <c r="I62" s="2"/>
      <c r="J62" s="2"/>
      <c r="K62" s="2"/>
      <c r="L62" s="2"/>
      <c r="M62" s="2"/>
    </row>
    <row r="63" spans="1:13" x14ac:dyDescent="0.2">
      <c r="E63"/>
      <c r="F63" s="2"/>
      <c r="G63" s="2"/>
      <c r="H63" s="2"/>
      <c r="I63" s="2"/>
      <c r="J63" s="2"/>
      <c r="K63" s="2"/>
      <c r="L63" s="2"/>
      <c r="M63" s="2"/>
    </row>
    <row r="64" spans="1:13" x14ac:dyDescent="0.2">
      <c r="E64"/>
      <c r="F64" s="2"/>
      <c r="G64" s="2"/>
      <c r="H64" s="2"/>
      <c r="I64" s="2"/>
      <c r="J64" s="2"/>
      <c r="K64" s="2"/>
      <c r="L64" s="2"/>
      <c r="M64" s="2"/>
    </row>
    <row r="65" spans="5:13" x14ac:dyDescent="0.2">
      <c r="E65"/>
      <c r="F65" s="2"/>
      <c r="G65" s="2"/>
      <c r="H65" s="2"/>
      <c r="I65" s="2"/>
      <c r="J65" s="2"/>
      <c r="K65" s="2"/>
      <c r="L65" s="2"/>
      <c r="M65" s="2"/>
    </row>
    <row r="66" spans="5:13" x14ac:dyDescent="0.2">
      <c r="E66"/>
      <c r="F66" s="2"/>
      <c r="G66" s="2"/>
      <c r="H66" s="2"/>
      <c r="I66" s="2"/>
      <c r="J66" s="2"/>
      <c r="K66" s="2"/>
      <c r="L66" s="2"/>
      <c r="M66" s="2"/>
    </row>
  </sheetData>
  <sortState xmlns:xlrd2="http://schemas.microsoft.com/office/spreadsheetml/2017/richdata2" ref="A2:E61">
    <sortCondition ref="A2:A61"/>
    <sortCondition ref="C2:C61" customList="January,February,March,April,May,June,July,August,September,October,November,December"/>
  </sortState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D0A35-2DCF-784F-90EA-276486543094}">
  <dimension ref="A1:M61"/>
  <sheetViews>
    <sheetView zoomScaleNormal="221" workbookViewId="0">
      <selection activeCell="G33" sqref="G33"/>
    </sheetView>
  </sheetViews>
  <sheetFormatPr baseColWidth="10" defaultRowHeight="15" x14ac:dyDescent="0.2"/>
  <cols>
    <col min="1" max="1" width="8.5" customWidth="1"/>
    <col min="3" max="4" width="11.1640625" bestFit="1" customWidth="1"/>
    <col min="5" max="5" width="13.6640625" customWidth="1"/>
    <col min="7" max="7" width="24.1640625" customWidth="1"/>
    <col min="8" max="8" width="14.83203125" bestFit="1" customWidth="1"/>
    <col min="9" max="9" width="12.1640625" bestFit="1" customWidth="1"/>
    <col min="10" max="11" width="6.1640625" bestFit="1" customWidth="1"/>
    <col min="12" max="12" width="9.1640625" bestFit="1" customWidth="1"/>
    <col min="13" max="13" width="12.1640625" hidden="1" customWidth="1"/>
    <col min="14" max="14" width="10.83203125" customWidth="1"/>
  </cols>
  <sheetData>
    <row r="1" spans="1:13" x14ac:dyDescent="0.2">
      <c r="A1" s="16" t="s">
        <v>36</v>
      </c>
      <c r="B1" s="17" t="s">
        <v>32</v>
      </c>
      <c r="C1" s="17" t="s">
        <v>16</v>
      </c>
      <c r="D1" s="17" t="s">
        <v>12</v>
      </c>
      <c r="E1" s="18" t="s">
        <v>33</v>
      </c>
    </row>
    <row r="2" spans="1:13" x14ac:dyDescent="0.2">
      <c r="A2" s="19" cm="1">
        <f t="array" ref="A2:A61">'Five Year data'!A2:A61</f>
        <v>2017</v>
      </c>
      <c r="B2" s="20" t="str" cm="1">
        <f t="array" ref="B2:B61">'Five Year data'!C2:C61</f>
        <v>January</v>
      </c>
      <c r="C2" s="21" cm="1">
        <f t="array" ref="C2:C61">'Five Year data'!D2:D61</f>
        <v>53980</v>
      </c>
      <c r="D2" s="21" cm="1">
        <f t="array" ref="D2:D61">'Five Year data'!E2:E61</f>
        <v>11325</v>
      </c>
      <c r="E2" s="22">
        <f>SUM(C2+D2)</f>
        <v>65305</v>
      </c>
      <c r="G2" s="12" t="s">
        <v>35</v>
      </c>
      <c r="H2" s="12" t="s">
        <v>36</v>
      </c>
    </row>
    <row r="3" spans="1:13" x14ac:dyDescent="0.2">
      <c r="A3" s="23">
        <v>2017</v>
      </c>
      <c r="B3" s="24" t="str">
        <v>February</v>
      </c>
      <c r="C3" s="25">
        <v>50896</v>
      </c>
      <c r="D3" s="25">
        <v>10452</v>
      </c>
      <c r="E3" s="26">
        <f t="shared" ref="E3:E61" si="0">SUM(C3+D3)</f>
        <v>61348</v>
      </c>
      <c r="G3" s="12" t="s">
        <v>32</v>
      </c>
      <c r="H3">
        <v>2017</v>
      </c>
      <c r="I3">
        <v>2018</v>
      </c>
      <c r="J3">
        <v>2019</v>
      </c>
      <c r="K3">
        <v>2020</v>
      </c>
      <c r="L3">
        <v>2021</v>
      </c>
      <c r="M3" t="s">
        <v>34</v>
      </c>
    </row>
    <row r="4" spans="1:13" x14ac:dyDescent="0.2">
      <c r="A4" s="19">
        <v>2017</v>
      </c>
      <c r="B4" s="20" t="str">
        <v>March</v>
      </c>
      <c r="C4" s="21">
        <v>53452</v>
      </c>
      <c r="D4" s="21">
        <v>10965</v>
      </c>
      <c r="E4" s="22">
        <f t="shared" si="0"/>
        <v>64417</v>
      </c>
      <c r="G4" s="13" t="s">
        <v>0</v>
      </c>
      <c r="H4">
        <v>65305</v>
      </c>
      <c r="I4">
        <v>67978</v>
      </c>
      <c r="J4">
        <v>70255</v>
      </c>
      <c r="K4">
        <v>73186</v>
      </c>
      <c r="L4">
        <v>75787</v>
      </c>
      <c r="M4" s="29">
        <v>70502.2</v>
      </c>
    </row>
    <row r="5" spans="1:13" x14ac:dyDescent="0.2">
      <c r="A5" s="23">
        <v>2017</v>
      </c>
      <c r="B5" s="24" t="str">
        <v>April</v>
      </c>
      <c r="C5" s="25">
        <v>54096</v>
      </c>
      <c r="D5" s="25">
        <v>11254</v>
      </c>
      <c r="E5" s="26">
        <f t="shared" si="0"/>
        <v>65350</v>
      </c>
      <c r="G5" s="13" t="s">
        <v>1</v>
      </c>
      <c r="H5">
        <v>61348</v>
      </c>
      <c r="I5">
        <v>63434</v>
      </c>
      <c r="J5">
        <v>64021</v>
      </c>
      <c r="K5">
        <v>68352</v>
      </c>
      <c r="L5">
        <v>69669</v>
      </c>
      <c r="M5" s="29">
        <v>65364.800000000003</v>
      </c>
    </row>
    <row r="6" spans="1:13" x14ac:dyDescent="0.2">
      <c r="A6" s="19">
        <v>2017</v>
      </c>
      <c r="B6" s="20" t="str">
        <v>May</v>
      </c>
      <c r="C6" s="21">
        <v>55054</v>
      </c>
      <c r="D6" s="21">
        <v>12698</v>
      </c>
      <c r="E6" s="22">
        <f t="shared" si="0"/>
        <v>67752</v>
      </c>
      <c r="G6" s="13" t="s">
        <v>2</v>
      </c>
      <c r="H6">
        <v>64417</v>
      </c>
      <c r="I6">
        <v>68110</v>
      </c>
      <c r="J6">
        <v>63009</v>
      </c>
      <c r="K6">
        <v>69698</v>
      </c>
      <c r="L6">
        <v>72023</v>
      </c>
      <c r="M6" s="29">
        <v>67451.399999999994</v>
      </c>
    </row>
    <row r="7" spans="1:13" x14ac:dyDescent="0.2">
      <c r="A7" s="23">
        <v>2017</v>
      </c>
      <c r="B7" s="24" t="str">
        <v>June</v>
      </c>
      <c r="C7" s="25">
        <v>55998</v>
      </c>
      <c r="D7" s="25">
        <v>13965</v>
      </c>
      <c r="E7" s="26">
        <f t="shared" si="0"/>
        <v>69963</v>
      </c>
      <c r="G7" s="13" t="s">
        <v>3</v>
      </c>
      <c r="H7">
        <v>65350</v>
      </c>
      <c r="I7">
        <v>69007</v>
      </c>
      <c r="J7">
        <v>65685</v>
      </c>
      <c r="K7">
        <v>71092</v>
      </c>
      <c r="L7">
        <v>75153</v>
      </c>
      <c r="M7" s="29">
        <v>69257.399999999994</v>
      </c>
    </row>
    <row r="8" spans="1:13" x14ac:dyDescent="0.2">
      <c r="A8" s="19">
        <v>2017</v>
      </c>
      <c r="B8" s="20" t="str">
        <v>July</v>
      </c>
      <c r="C8" s="21">
        <v>55950</v>
      </c>
      <c r="D8" s="21">
        <v>14023</v>
      </c>
      <c r="E8" s="22">
        <f t="shared" si="0"/>
        <v>69973</v>
      </c>
      <c r="G8" s="13" t="s">
        <v>4</v>
      </c>
      <c r="H8">
        <v>67752</v>
      </c>
      <c r="I8">
        <v>70645</v>
      </c>
      <c r="J8">
        <v>65423</v>
      </c>
      <c r="K8">
        <v>72642</v>
      </c>
      <c r="L8">
        <v>76872</v>
      </c>
      <c r="M8" s="29">
        <v>70666.8</v>
      </c>
    </row>
    <row r="9" spans="1:13" x14ac:dyDescent="0.2">
      <c r="A9" s="23">
        <v>2017</v>
      </c>
      <c r="B9" s="24" t="str">
        <v>August</v>
      </c>
      <c r="C9" s="25">
        <v>55580</v>
      </c>
      <c r="D9" s="25">
        <v>12365</v>
      </c>
      <c r="E9" s="26">
        <f t="shared" si="0"/>
        <v>67945</v>
      </c>
      <c r="G9" s="13" t="s">
        <v>5</v>
      </c>
      <c r="H9">
        <v>69963</v>
      </c>
      <c r="I9">
        <v>72283</v>
      </c>
      <c r="J9">
        <v>67011</v>
      </c>
      <c r="K9">
        <v>74696</v>
      </c>
      <c r="L9">
        <v>76757</v>
      </c>
      <c r="M9">
        <v>72142</v>
      </c>
    </row>
    <row r="10" spans="1:13" x14ac:dyDescent="0.2">
      <c r="A10" s="19">
        <v>2017</v>
      </c>
      <c r="B10" s="20" t="str">
        <v>September</v>
      </c>
      <c r="C10" s="21">
        <v>54570</v>
      </c>
      <c r="D10" s="21">
        <v>12547</v>
      </c>
      <c r="E10" s="22">
        <f t="shared" si="0"/>
        <v>67117</v>
      </c>
      <c r="G10" s="13" t="s">
        <v>6</v>
      </c>
      <c r="H10">
        <v>69973</v>
      </c>
      <c r="I10">
        <v>72544</v>
      </c>
      <c r="J10">
        <v>69012</v>
      </c>
      <c r="K10">
        <v>74220</v>
      </c>
      <c r="L10">
        <v>75883</v>
      </c>
      <c r="M10" s="29">
        <v>72326.399999999994</v>
      </c>
    </row>
    <row r="11" spans="1:13" x14ac:dyDescent="0.2">
      <c r="A11" s="23">
        <v>2017</v>
      </c>
      <c r="B11" s="24" t="str">
        <v>October</v>
      </c>
      <c r="C11" s="25">
        <v>50652</v>
      </c>
      <c r="D11" s="25">
        <v>11369</v>
      </c>
      <c r="E11" s="26">
        <f t="shared" si="0"/>
        <v>62021</v>
      </c>
      <c r="G11" s="13" t="s">
        <v>7</v>
      </c>
      <c r="H11">
        <v>67945</v>
      </c>
      <c r="I11">
        <v>70354</v>
      </c>
      <c r="J11">
        <v>69245</v>
      </c>
      <c r="K11">
        <v>71460</v>
      </c>
      <c r="L11">
        <v>74984</v>
      </c>
      <c r="M11" s="29">
        <v>70797.600000000006</v>
      </c>
    </row>
    <row r="12" spans="1:13" x14ac:dyDescent="0.2">
      <c r="A12" s="19">
        <v>2017</v>
      </c>
      <c r="B12" s="20" t="str">
        <v>November</v>
      </c>
      <c r="C12" s="21">
        <v>50865</v>
      </c>
      <c r="D12" s="21">
        <v>12006</v>
      </c>
      <c r="E12" s="22">
        <f t="shared" si="0"/>
        <v>62871</v>
      </c>
      <c r="G12" s="13" t="s">
        <v>8</v>
      </c>
      <c r="H12">
        <v>67117</v>
      </c>
      <c r="I12">
        <v>69765</v>
      </c>
      <c r="J12">
        <v>69354</v>
      </c>
      <c r="K12">
        <v>70828</v>
      </c>
      <c r="L12">
        <v>72938</v>
      </c>
      <c r="M12" s="29">
        <v>70000.399999999994</v>
      </c>
    </row>
    <row r="13" spans="1:13" x14ac:dyDescent="0.2">
      <c r="A13" s="23">
        <v>2017</v>
      </c>
      <c r="B13" s="24" t="str">
        <v>December</v>
      </c>
      <c r="C13" s="25">
        <v>53435</v>
      </c>
      <c r="D13" s="25">
        <v>12987</v>
      </c>
      <c r="E13" s="26">
        <f t="shared" si="0"/>
        <v>66422</v>
      </c>
      <c r="G13" s="13" t="s">
        <v>9</v>
      </c>
      <c r="H13">
        <v>62021</v>
      </c>
      <c r="I13">
        <v>65693</v>
      </c>
      <c r="J13">
        <v>64747</v>
      </c>
      <c r="K13">
        <v>64169</v>
      </c>
      <c r="L13">
        <v>65747</v>
      </c>
      <c r="M13" s="29">
        <v>64475.4</v>
      </c>
    </row>
    <row r="14" spans="1:13" x14ac:dyDescent="0.2">
      <c r="A14" s="19">
        <v>2018</v>
      </c>
      <c r="B14" s="20" t="str">
        <v>January</v>
      </c>
      <c r="C14" s="21">
        <v>56320</v>
      </c>
      <c r="D14" s="21">
        <v>11658</v>
      </c>
      <c r="E14" s="22">
        <f t="shared" si="0"/>
        <v>67978</v>
      </c>
      <c r="G14" s="13" t="s">
        <v>10</v>
      </c>
      <c r="H14">
        <v>62871</v>
      </c>
      <c r="I14">
        <v>64343</v>
      </c>
      <c r="J14">
        <v>63920</v>
      </c>
      <c r="K14">
        <v>64890</v>
      </c>
      <c r="L14">
        <v>65376</v>
      </c>
      <c r="M14">
        <v>64280</v>
      </c>
    </row>
    <row r="15" spans="1:13" x14ac:dyDescent="0.2">
      <c r="A15" s="23">
        <v>2018</v>
      </c>
      <c r="B15" s="24" t="str">
        <v>February</v>
      </c>
      <c r="C15" s="25">
        <v>53065</v>
      </c>
      <c r="D15" s="25">
        <v>10369</v>
      </c>
      <c r="E15" s="26">
        <f t="shared" si="0"/>
        <v>63434</v>
      </c>
      <c r="G15" s="13" t="s">
        <v>11</v>
      </c>
      <c r="H15">
        <v>66422</v>
      </c>
      <c r="I15">
        <v>69655</v>
      </c>
      <c r="J15">
        <v>70746</v>
      </c>
      <c r="K15">
        <v>73443</v>
      </c>
      <c r="L15">
        <v>76038</v>
      </c>
      <c r="M15" s="29">
        <v>71260.800000000003</v>
      </c>
    </row>
    <row r="16" spans="1:13" x14ac:dyDescent="0.2">
      <c r="A16" s="19">
        <v>2018</v>
      </c>
      <c r="B16" s="20" t="str">
        <v>March</v>
      </c>
      <c r="C16" s="21">
        <v>55125</v>
      </c>
      <c r="D16" s="21">
        <v>12985</v>
      </c>
      <c r="E16" s="22">
        <f t="shared" si="0"/>
        <v>68110</v>
      </c>
      <c r="G16" s="13" t="s">
        <v>34</v>
      </c>
      <c r="H16">
        <v>65873.666666666672</v>
      </c>
      <c r="I16">
        <v>68650.916666666672</v>
      </c>
      <c r="J16">
        <v>66869</v>
      </c>
      <c r="K16">
        <v>70723</v>
      </c>
      <c r="L16">
        <v>73102.25</v>
      </c>
      <c r="M16" s="29">
        <v>69043.766666666663</v>
      </c>
    </row>
    <row r="17" spans="1:5" x14ac:dyDescent="0.2">
      <c r="A17" s="23">
        <v>2018</v>
      </c>
      <c r="B17" s="24" t="str">
        <v>April</v>
      </c>
      <c r="C17" s="25">
        <v>56002</v>
      </c>
      <c r="D17" s="25">
        <v>13005</v>
      </c>
      <c r="E17" s="26">
        <f t="shared" si="0"/>
        <v>69007</v>
      </c>
    </row>
    <row r="18" spans="1:5" x14ac:dyDescent="0.2">
      <c r="A18" s="19">
        <v>2018</v>
      </c>
      <c r="B18" s="20" t="str">
        <v>May</v>
      </c>
      <c r="C18" s="21">
        <v>56987</v>
      </c>
      <c r="D18" s="21">
        <v>13658</v>
      </c>
      <c r="E18" s="22">
        <f t="shared" si="0"/>
        <v>70645</v>
      </c>
    </row>
    <row r="19" spans="1:5" x14ac:dyDescent="0.2">
      <c r="A19" s="23">
        <v>2018</v>
      </c>
      <c r="B19" s="24" t="str">
        <v>June</v>
      </c>
      <c r="C19" s="25">
        <v>57631</v>
      </c>
      <c r="D19" s="25">
        <v>14652</v>
      </c>
      <c r="E19" s="26">
        <f t="shared" si="0"/>
        <v>72283</v>
      </c>
    </row>
    <row r="20" spans="1:5" x14ac:dyDescent="0.2">
      <c r="A20" s="19">
        <v>2018</v>
      </c>
      <c r="B20" s="20" t="str">
        <v>July</v>
      </c>
      <c r="C20" s="21">
        <v>57548</v>
      </c>
      <c r="D20" s="21">
        <v>14996</v>
      </c>
      <c r="E20" s="22">
        <f t="shared" si="0"/>
        <v>72544</v>
      </c>
    </row>
    <row r="21" spans="1:5" x14ac:dyDescent="0.2">
      <c r="A21" s="23">
        <v>2018</v>
      </c>
      <c r="B21" s="24" t="str">
        <v>August</v>
      </c>
      <c r="C21" s="25">
        <v>56369</v>
      </c>
      <c r="D21" s="25">
        <v>13985</v>
      </c>
      <c r="E21" s="26">
        <f t="shared" si="0"/>
        <v>70354</v>
      </c>
    </row>
    <row r="22" spans="1:5" x14ac:dyDescent="0.2">
      <c r="A22" s="19">
        <v>2018</v>
      </c>
      <c r="B22" s="20" t="str">
        <v>September</v>
      </c>
      <c r="C22" s="21">
        <v>56239</v>
      </c>
      <c r="D22" s="21">
        <v>13526</v>
      </c>
      <c r="E22" s="22">
        <f t="shared" si="0"/>
        <v>69765</v>
      </c>
    </row>
    <row r="23" spans="1:5" x14ac:dyDescent="0.2">
      <c r="A23" s="23">
        <v>2018</v>
      </c>
      <c r="B23" s="24" t="str">
        <v>October</v>
      </c>
      <c r="C23" s="25">
        <v>52469</v>
      </c>
      <c r="D23" s="25">
        <v>13224</v>
      </c>
      <c r="E23" s="26">
        <f t="shared" si="0"/>
        <v>65693</v>
      </c>
    </row>
    <row r="24" spans="1:5" x14ac:dyDescent="0.2">
      <c r="A24" s="19">
        <v>2018</v>
      </c>
      <c r="B24" s="20" t="str">
        <v>November</v>
      </c>
      <c r="C24" s="21">
        <v>52307</v>
      </c>
      <c r="D24" s="21">
        <v>12036</v>
      </c>
      <c r="E24" s="22">
        <f t="shared" si="0"/>
        <v>64343</v>
      </c>
    </row>
    <row r="25" spans="1:5" x14ac:dyDescent="0.2">
      <c r="A25" s="23">
        <v>2018</v>
      </c>
      <c r="B25" s="24" t="str">
        <v>December</v>
      </c>
      <c r="C25" s="25">
        <v>55557</v>
      </c>
      <c r="D25" s="25">
        <v>14098</v>
      </c>
      <c r="E25" s="26">
        <f t="shared" si="0"/>
        <v>69655</v>
      </c>
    </row>
    <row r="26" spans="1:5" x14ac:dyDescent="0.2">
      <c r="A26" s="19">
        <v>2019</v>
      </c>
      <c r="B26" s="20" t="str">
        <v>January</v>
      </c>
      <c r="C26" s="21">
        <v>57890</v>
      </c>
      <c r="D26" s="21">
        <v>12365</v>
      </c>
      <c r="E26" s="22">
        <f t="shared" si="0"/>
        <v>70255</v>
      </c>
    </row>
    <row r="27" spans="1:5" x14ac:dyDescent="0.2">
      <c r="A27" s="23">
        <v>2019</v>
      </c>
      <c r="B27" s="24" t="str">
        <v>February</v>
      </c>
      <c r="C27" s="25">
        <v>53985</v>
      </c>
      <c r="D27" s="25">
        <v>10036</v>
      </c>
      <c r="E27" s="26">
        <f t="shared" si="0"/>
        <v>64021</v>
      </c>
    </row>
    <row r="28" spans="1:5" x14ac:dyDescent="0.2">
      <c r="A28" s="19">
        <v>2019</v>
      </c>
      <c r="B28" s="20" t="str">
        <v>March</v>
      </c>
      <c r="C28" s="21">
        <v>52047</v>
      </c>
      <c r="D28" s="21">
        <v>10962</v>
      </c>
      <c r="E28" s="22">
        <f t="shared" si="0"/>
        <v>63009</v>
      </c>
    </row>
    <row r="29" spans="1:5" x14ac:dyDescent="0.2">
      <c r="A29" s="23">
        <v>2019</v>
      </c>
      <c r="B29" s="24" t="str">
        <v>April</v>
      </c>
      <c r="C29" s="25">
        <v>53987</v>
      </c>
      <c r="D29" s="25">
        <v>11698</v>
      </c>
      <c r="E29" s="26">
        <f t="shared" si="0"/>
        <v>65685</v>
      </c>
    </row>
    <row r="30" spans="1:5" x14ac:dyDescent="0.2">
      <c r="A30" s="19">
        <v>2019</v>
      </c>
      <c r="B30" s="20" t="str">
        <v>May</v>
      </c>
      <c r="C30" s="21">
        <v>53965</v>
      </c>
      <c r="D30" s="21">
        <v>11458</v>
      </c>
      <c r="E30" s="22">
        <f t="shared" si="0"/>
        <v>65423</v>
      </c>
    </row>
    <row r="31" spans="1:5" x14ac:dyDescent="0.2">
      <c r="A31" s="23">
        <v>2019</v>
      </c>
      <c r="B31" s="24" t="str">
        <v>June</v>
      </c>
      <c r="C31" s="25">
        <v>54026</v>
      </c>
      <c r="D31" s="25">
        <v>12985</v>
      </c>
      <c r="E31" s="26">
        <f t="shared" si="0"/>
        <v>67011</v>
      </c>
    </row>
    <row r="32" spans="1:5" x14ac:dyDescent="0.2">
      <c r="A32" s="19">
        <v>2019</v>
      </c>
      <c r="B32" s="20" t="str">
        <v>July</v>
      </c>
      <c r="C32" s="21">
        <v>56354</v>
      </c>
      <c r="D32" s="21">
        <v>12658</v>
      </c>
      <c r="E32" s="22">
        <f t="shared" si="0"/>
        <v>69012</v>
      </c>
    </row>
    <row r="33" spans="1:5" x14ac:dyDescent="0.2">
      <c r="A33" s="23">
        <v>2019</v>
      </c>
      <c r="B33" s="24" t="str">
        <v>August</v>
      </c>
      <c r="C33" s="25">
        <v>57231</v>
      </c>
      <c r="D33" s="25">
        <v>12014</v>
      </c>
      <c r="E33" s="26">
        <f t="shared" si="0"/>
        <v>69245</v>
      </c>
    </row>
    <row r="34" spans="1:5" x14ac:dyDescent="0.2">
      <c r="A34" s="19">
        <v>2019</v>
      </c>
      <c r="B34" s="20" t="str">
        <v>September</v>
      </c>
      <c r="C34" s="21">
        <v>57386</v>
      </c>
      <c r="D34" s="21">
        <v>11968</v>
      </c>
      <c r="E34" s="22">
        <f t="shared" si="0"/>
        <v>69354</v>
      </c>
    </row>
    <row r="35" spans="1:5" x14ac:dyDescent="0.2">
      <c r="A35" s="23">
        <v>2019</v>
      </c>
      <c r="B35" s="24" t="str">
        <v>October</v>
      </c>
      <c r="C35" s="25">
        <v>52762</v>
      </c>
      <c r="D35" s="25">
        <v>11985</v>
      </c>
      <c r="E35" s="26">
        <f t="shared" si="0"/>
        <v>64747</v>
      </c>
    </row>
    <row r="36" spans="1:5" x14ac:dyDescent="0.2">
      <c r="A36" s="19">
        <v>2019</v>
      </c>
      <c r="B36" s="20" t="str">
        <v>November</v>
      </c>
      <c r="C36" s="21">
        <v>52964</v>
      </c>
      <c r="D36" s="21">
        <v>10956</v>
      </c>
      <c r="E36" s="22">
        <f t="shared" si="0"/>
        <v>63920</v>
      </c>
    </row>
    <row r="37" spans="1:5" x14ac:dyDescent="0.2">
      <c r="A37" s="23">
        <v>2019</v>
      </c>
      <c r="B37" s="24" t="str">
        <v>December</v>
      </c>
      <c r="C37" s="25">
        <v>55761</v>
      </c>
      <c r="D37" s="25">
        <v>14985</v>
      </c>
      <c r="E37" s="26">
        <f t="shared" si="0"/>
        <v>70746</v>
      </c>
    </row>
    <row r="38" spans="1:5" x14ac:dyDescent="0.2">
      <c r="A38" s="19">
        <v>2020</v>
      </c>
      <c r="B38" s="20" t="str">
        <v>January</v>
      </c>
      <c r="C38" s="21">
        <v>58950</v>
      </c>
      <c r="D38" s="21">
        <v>14236</v>
      </c>
      <c r="E38" s="22">
        <f t="shared" si="0"/>
        <v>73186</v>
      </c>
    </row>
    <row r="39" spans="1:5" x14ac:dyDescent="0.2">
      <c r="A39" s="23">
        <v>2020</v>
      </c>
      <c r="B39" s="24" t="str">
        <v>February</v>
      </c>
      <c r="C39" s="25">
        <v>55654</v>
      </c>
      <c r="D39" s="25">
        <v>12698</v>
      </c>
      <c r="E39" s="26">
        <f t="shared" si="0"/>
        <v>68352</v>
      </c>
    </row>
    <row r="40" spans="1:5" x14ac:dyDescent="0.2">
      <c r="A40" s="19">
        <v>2020</v>
      </c>
      <c r="B40" s="20" t="str">
        <v>March</v>
      </c>
      <c r="C40" s="21">
        <v>56584</v>
      </c>
      <c r="D40" s="21">
        <v>13114</v>
      </c>
      <c r="E40" s="22">
        <f t="shared" si="0"/>
        <v>69698</v>
      </c>
    </row>
    <row r="41" spans="1:5" x14ac:dyDescent="0.2">
      <c r="A41" s="23">
        <v>2020</v>
      </c>
      <c r="B41" s="24" t="str">
        <v>April</v>
      </c>
      <c r="C41" s="25">
        <v>57845</v>
      </c>
      <c r="D41" s="25">
        <v>13247</v>
      </c>
      <c r="E41" s="26">
        <f t="shared" si="0"/>
        <v>71092</v>
      </c>
    </row>
    <row r="42" spans="1:5" x14ac:dyDescent="0.2">
      <c r="A42" s="19">
        <v>2020</v>
      </c>
      <c r="B42" s="20" t="str">
        <v>May</v>
      </c>
      <c r="C42" s="21">
        <v>58987</v>
      </c>
      <c r="D42" s="21">
        <v>13655</v>
      </c>
      <c r="E42" s="22">
        <f t="shared" si="0"/>
        <v>72642</v>
      </c>
    </row>
    <row r="43" spans="1:5" x14ac:dyDescent="0.2">
      <c r="A43" s="23">
        <v>2020</v>
      </c>
      <c r="B43" s="24" t="str">
        <v>June</v>
      </c>
      <c r="C43" s="25">
        <v>59998</v>
      </c>
      <c r="D43" s="25">
        <v>14698</v>
      </c>
      <c r="E43" s="26">
        <f t="shared" si="0"/>
        <v>74696</v>
      </c>
    </row>
    <row r="44" spans="1:5" x14ac:dyDescent="0.2">
      <c r="A44" s="19">
        <v>2020</v>
      </c>
      <c r="B44" s="20" t="str">
        <v>July</v>
      </c>
      <c r="C44" s="21">
        <v>59651</v>
      </c>
      <c r="D44" s="21">
        <v>14569</v>
      </c>
      <c r="E44" s="22">
        <f t="shared" si="0"/>
        <v>74220</v>
      </c>
    </row>
    <row r="45" spans="1:5" x14ac:dyDescent="0.2">
      <c r="A45" s="23">
        <v>2020</v>
      </c>
      <c r="B45" s="24" t="str">
        <v>August</v>
      </c>
      <c r="C45" s="25">
        <v>58965</v>
      </c>
      <c r="D45" s="25">
        <v>12495</v>
      </c>
      <c r="E45" s="26">
        <f t="shared" si="0"/>
        <v>71460</v>
      </c>
    </row>
    <row r="46" spans="1:5" x14ac:dyDescent="0.2">
      <c r="A46" s="19">
        <v>2020</v>
      </c>
      <c r="B46" s="20" t="str">
        <v>September</v>
      </c>
      <c r="C46" s="21">
        <v>58463</v>
      </c>
      <c r="D46" s="21">
        <v>12365</v>
      </c>
      <c r="E46" s="22">
        <f t="shared" si="0"/>
        <v>70828</v>
      </c>
    </row>
    <row r="47" spans="1:5" x14ac:dyDescent="0.2">
      <c r="A47" s="23">
        <v>2020</v>
      </c>
      <c r="B47" s="24" t="str">
        <v>October</v>
      </c>
      <c r="C47" s="25">
        <v>52804</v>
      </c>
      <c r="D47" s="25">
        <v>11365</v>
      </c>
      <c r="E47" s="26">
        <f t="shared" si="0"/>
        <v>64169</v>
      </c>
    </row>
    <row r="48" spans="1:5" x14ac:dyDescent="0.2">
      <c r="A48" s="19">
        <v>2020</v>
      </c>
      <c r="B48" s="20" t="str">
        <v>November</v>
      </c>
      <c r="C48" s="21">
        <v>53792</v>
      </c>
      <c r="D48" s="21">
        <v>11098</v>
      </c>
      <c r="E48" s="22">
        <f t="shared" si="0"/>
        <v>64890</v>
      </c>
    </row>
    <row r="49" spans="1:5" x14ac:dyDescent="0.2">
      <c r="A49" s="23">
        <v>2020</v>
      </c>
      <c r="B49" s="24" t="str">
        <v>December</v>
      </c>
      <c r="C49" s="25">
        <v>58411</v>
      </c>
      <c r="D49" s="25">
        <v>15032</v>
      </c>
      <c r="E49" s="26">
        <f t="shared" si="0"/>
        <v>73443</v>
      </c>
    </row>
    <row r="50" spans="1:5" x14ac:dyDescent="0.2">
      <c r="A50" s="19">
        <v>2021</v>
      </c>
      <c r="B50" s="20" t="str">
        <v>January</v>
      </c>
      <c r="C50" s="21">
        <v>61089</v>
      </c>
      <c r="D50" s="21">
        <v>14698</v>
      </c>
      <c r="E50" s="22">
        <f t="shared" si="0"/>
        <v>75787</v>
      </c>
    </row>
    <row r="51" spans="1:5" x14ac:dyDescent="0.2">
      <c r="A51" s="23">
        <v>2021</v>
      </c>
      <c r="B51" s="24" t="str">
        <v>February</v>
      </c>
      <c r="C51" s="25">
        <v>57985</v>
      </c>
      <c r="D51" s="25">
        <v>11684</v>
      </c>
      <c r="E51" s="26">
        <f t="shared" si="0"/>
        <v>69669</v>
      </c>
    </row>
    <row r="52" spans="1:5" x14ac:dyDescent="0.2">
      <c r="A52" s="19">
        <v>2021</v>
      </c>
      <c r="B52" s="20" t="str">
        <v>March</v>
      </c>
      <c r="C52" s="21">
        <v>59658</v>
      </c>
      <c r="D52" s="21">
        <v>12365</v>
      </c>
      <c r="E52" s="22">
        <f t="shared" si="0"/>
        <v>72023</v>
      </c>
    </row>
    <row r="53" spans="1:5" x14ac:dyDescent="0.2">
      <c r="A53" s="23">
        <v>2021</v>
      </c>
      <c r="B53" s="24" t="str">
        <v>April</v>
      </c>
      <c r="C53" s="25">
        <v>60584</v>
      </c>
      <c r="D53" s="25">
        <v>14569</v>
      </c>
      <c r="E53" s="26">
        <f t="shared" si="0"/>
        <v>75153</v>
      </c>
    </row>
    <row r="54" spans="1:5" x14ac:dyDescent="0.2">
      <c r="A54" s="19">
        <v>2021</v>
      </c>
      <c r="B54" s="20" t="str">
        <v>May</v>
      </c>
      <c r="C54" s="21">
        <v>61025</v>
      </c>
      <c r="D54" s="21">
        <v>15847</v>
      </c>
      <c r="E54" s="22">
        <f t="shared" si="0"/>
        <v>76872</v>
      </c>
    </row>
    <row r="55" spans="1:5" x14ac:dyDescent="0.2">
      <c r="A55" s="23">
        <v>2021</v>
      </c>
      <c r="B55" s="24" t="str">
        <v>June</v>
      </c>
      <c r="C55" s="25">
        <v>60199</v>
      </c>
      <c r="D55" s="25">
        <v>16558</v>
      </c>
      <c r="E55" s="26">
        <f t="shared" si="0"/>
        <v>76757</v>
      </c>
    </row>
    <row r="56" spans="1:5" x14ac:dyDescent="0.2">
      <c r="A56" s="19">
        <v>2021</v>
      </c>
      <c r="B56" s="20" t="str">
        <v>July</v>
      </c>
      <c r="C56" s="21">
        <v>60185</v>
      </c>
      <c r="D56" s="21">
        <v>15698</v>
      </c>
      <c r="E56" s="22">
        <f t="shared" si="0"/>
        <v>75883</v>
      </c>
    </row>
    <row r="57" spans="1:5" x14ac:dyDescent="0.2">
      <c r="A57" s="23">
        <v>2021</v>
      </c>
      <c r="B57" s="24" t="str">
        <v>August</v>
      </c>
      <c r="C57" s="25">
        <v>59999</v>
      </c>
      <c r="D57" s="25">
        <v>14985</v>
      </c>
      <c r="E57" s="26">
        <f t="shared" si="0"/>
        <v>74984</v>
      </c>
    </row>
    <row r="58" spans="1:5" x14ac:dyDescent="0.2">
      <c r="A58" s="19">
        <v>2021</v>
      </c>
      <c r="B58" s="20" t="str">
        <v>September</v>
      </c>
      <c r="C58" s="21">
        <v>59243</v>
      </c>
      <c r="D58" s="21">
        <v>13695</v>
      </c>
      <c r="E58" s="22">
        <f t="shared" si="0"/>
        <v>72938</v>
      </c>
    </row>
    <row r="59" spans="1:5" x14ac:dyDescent="0.2">
      <c r="A59" s="23">
        <v>2021</v>
      </c>
      <c r="B59" s="24" t="str">
        <v>October</v>
      </c>
      <c r="C59" s="25">
        <v>53095</v>
      </c>
      <c r="D59" s="25">
        <v>12652</v>
      </c>
      <c r="E59" s="26">
        <f t="shared" si="0"/>
        <v>65747</v>
      </c>
    </row>
    <row r="60" spans="1:5" x14ac:dyDescent="0.2">
      <c r="A60" s="19">
        <v>2021</v>
      </c>
      <c r="B60" s="20" t="str">
        <v>November</v>
      </c>
      <c r="C60" s="21">
        <v>53811</v>
      </c>
      <c r="D60" s="21">
        <v>11565</v>
      </c>
      <c r="E60" s="22">
        <f t="shared" si="0"/>
        <v>65376</v>
      </c>
    </row>
    <row r="61" spans="1:5" x14ac:dyDescent="0.2">
      <c r="A61" s="14">
        <v>2021</v>
      </c>
      <c r="B61" s="15" t="str">
        <v>December</v>
      </c>
      <c r="C61" s="27">
        <v>60049</v>
      </c>
      <c r="D61" s="27">
        <v>15989</v>
      </c>
      <c r="E61" s="28">
        <f t="shared" si="0"/>
        <v>76038</v>
      </c>
    </row>
  </sheetData>
  <autoFilter ref="A1:E13" xr:uid="{E5CD0A35-2DCF-784F-90EA-276486543094}"/>
  <conditionalFormatting pivot="1" sqref="M16 M4:M15">
    <cfRule type="top10" dxfId="19" priority="4" rank="5"/>
  </conditionalFormatting>
  <conditionalFormatting pivot="1" sqref="M16 M4:M15">
    <cfRule type="top10" dxfId="18" priority="3" bottom="1" rank="5"/>
  </conditionalFormatting>
  <conditionalFormatting pivot="1" sqref="H4:L15">
    <cfRule type="top10" dxfId="17" priority="2" rank="5"/>
  </conditionalFormatting>
  <conditionalFormatting pivot="1" sqref="H4:L15">
    <cfRule type="top10" dxfId="16" priority="1" bottom="1" rank="5"/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699C839D-723B-374D-BDD2-D56D2CEE901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00B050"/>
          <x14:colorLow rgb="FFD00000"/>
          <x14:sparklines>
            <x14:sparkline>
              <xm:f>Ontario!H4:L4</xm:f>
              <xm:sqref>N4</xm:sqref>
            </x14:sparkline>
            <x14:sparkline>
              <xm:f>Ontario!H5:L5</xm:f>
              <xm:sqref>N5</xm:sqref>
            </x14:sparkline>
            <x14:sparkline>
              <xm:f>Ontario!H6:L6</xm:f>
              <xm:sqref>N6</xm:sqref>
            </x14:sparkline>
            <x14:sparkline>
              <xm:f>Ontario!H7:L7</xm:f>
              <xm:sqref>N7</xm:sqref>
            </x14:sparkline>
            <x14:sparkline>
              <xm:f>Ontario!H8:L8</xm:f>
              <xm:sqref>N8</xm:sqref>
            </x14:sparkline>
            <x14:sparkline>
              <xm:f>Ontario!H9:L9</xm:f>
              <xm:sqref>N9</xm:sqref>
            </x14:sparkline>
            <x14:sparkline>
              <xm:f>Ontario!H10:L10</xm:f>
              <xm:sqref>N10</xm:sqref>
            </x14:sparkline>
            <x14:sparkline>
              <xm:f>Ontario!H11:L11</xm:f>
              <xm:sqref>N11</xm:sqref>
            </x14:sparkline>
            <x14:sparkline>
              <xm:f>Ontario!H12:L12</xm:f>
              <xm:sqref>N12</xm:sqref>
            </x14:sparkline>
            <x14:sparkline>
              <xm:f>Ontario!H13:L13</xm:f>
              <xm:sqref>N13</xm:sqref>
            </x14:sparkline>
            <x14:sparkline>
              <xm:f>Ontario!H14:L14</xm:f>
              <xm:sqref>N14</xm:sqref>
            </x14:sparkline>
            <x14:sparkline>
              <xm:f>Ontario!H15:L15</xm:f>
              <xm:sqref>N15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06B3A-8A5F-8746-92ED-A31FBB258698}">
  <dimension ref="A1:B61"/>
  <sheetViews>
    <sheetView tabSelected="1" topLeftCell="A2" workbookViewId="0">
      <selection activeCell="F29" sqref="F29"/>
    </sheetView>
  </sheetViews>
  <sheetFormatPr baseColWidth="10" defaultRowHeight="15" x14ac:dyDescent="0.2"/>
  <cols>
    <col min="2" max="2" width="11.1640625" bestFit="1" customWidth="1"/>
  </cols>
  <sheetData>
    <row r="1" spans="1:2" x14ac:dyDescent="0.2">
      <c r="A1" s="5" t="s">
        <v>32</v>
      </c>
      <c r="B1" s="5" t="s">
        <v>39</v>
      </c>
    </row>
    <row r="2" spans="1:2" x14ac:dyDescent="0.2">
      <c r="A2" t="str" cm="1">
        <f t="array" ref="A2:A61">_xlfn.ANCHORARRAY(Ontario!B2)</f>
        <v>January</v>
      </c>
      <c r="B2" s="31" cm="1">
        <f t="array" ref="B2:B61">Ontario!E2:E61</f>
        <v>65305</v>
      </c>
    </row>
    <row r="3" spans="1:2" x14ac:dyDescent="0.2">
      <c r="A3" t="str">
        <v>February</v>
      </c>
      <c r="B3" s="31">
        <v>61348</v>
      </c>
    </row>
    <row r="4" spans="1:2" x14ac:dyDescent="0.2">
      <c r="A4" t="str">
        <v>March</v>
      </c>
      <c r="B4" s="31">
        <v>64417</v>
      </c>
    </row>
    <row r="5" spans="1:2" x14ac:dyDescent="0.2">
      <c r="A5" t="str">
        <v>April</v>
      </c>
      <c r="B5" s="31">
        <v>65350</v>
      </c>
    </row>
    <row r="6" spans="1:2" x14ac:dyDescent="0.2">
      <c r="A6" t="str">
        <v>May</v>
      </c>
      <c r="B6" s="31">
        <v>67752</v>
      </c>
    </row>
    <row r="7" spans="1:2" x14ac:dyDescent="0.2">
      <c r="A7" t="str">
        <v>June</v>
      </c>
      <c r="B7" s="31">
        <v>69963</v>
      </c>
    </row>
    <row r="8" spans="1:2" x14ac:dyDescent="0.2">
      <c r="A8" t="str">
        <v>July</v>
      </c>
      <c r="B8" s="31">
        <v>69973</v>
      </c>
    </row>
    <row r="9" spans="1:2" x14ac:dyDescent="0.2">
      <c r="A9" t="str">
        <v>August</v>
      </c>
      <c r="B9" s="31">
        <v>67945</v>
      </c>
    </row>
    <row r="10" spans="1:2" x14ac:dyDescent="0.2">
      <c r="A10" t="str">
        <v>September</v>
      </c>
      <c r="B10" s="31">
        <v>67117</v>
      </c>
    </row>
    <row r="11" spans="1:2" x14ac:dyDescent="0.2">
      <c r="A11" t="str">
        <v>October</v>
      </c>
      <c r="B11" s="31">
        <v>62021</v>
      </c>
    </row>
    <row r="12" spans="1:2" x14ac:dyDescent="0.2">
      <c r="A12" t="str">
        <v>November</v>
      </c>
      <c r="B12" s="31">
        <v>62871</v>
      </c>
    </row>
    <row r="13" spans="1:2" x14ac:dyDescent="0.2">
      <c r="A13" t="str">
        <v>December</v>
      </c>
      <c r="B13" s="31">
        <v>66422</v>
      </c>
    </row>
    <row r="14" spans="1:2" x14ac:dyDescent="0.2">
      <c r="A14" t="str">
        <v>January</v>
      </c>
      <c r="B14" s="31">
        <v>67978</v>
      </c>
    </row>
    <row r="15" spans="1:2" x14ac:dyDescent="0.2">
      <c r="A15" t="str">
        <v>February</v>
      </c>
      <c r="B15" s="31">
        <v>63434</v>
      </c>
    </row>
    <row r="16" spans="1:2" x14ac:dyDescent="0.2">
      <c r="A16" t="str">
        <v>March</v>
      </c>
      <c r="B16" s="31">
        <v>68110</v>
      </c>
    </row>
    <row r="17" spans="1:2" x14ac:dyDescent="0.2">
      <c r="A17" t="str">
        <v>April</v>
      </c>
      <c r="B17" s="31">
        <v>69007</v>
      </c>
    </row>
    <row r="18" spans="1:2" x14ac:dyDescent="0.2">
      <c r="A18" t="str">
        <v>May</v>
      </c>
      <c r="B18" s="31">
        <v>70645</v>
      </c>
    </row>
    <row r="19" spans="1:2" x14ac:dyDescent="0.2">
      <c r="A19" t="str">
        <v>June</v>
      </c>
      <c r="B19" s="31">
        <v>72283</v>
      </c>
    </row>
    <row r="20" spans="1:2" x14ac:dyDescent="0.2">
      <c r="A20" t="str">
        <v>July</v>
      </c>
      <c r="B20" s="31">
        <v>72544</v>
      </c>
    </row>
    <row r="21" spans="1:2" x14ac:dyDescent="0.2">
      <c r="A21" t="str">
        <v>August</v>
      </c>
      <c r="B21" s="31">
        <v>70354</v>
      </c>
    </row>
    <row r="22" spans="1:2" x14ac:dyDescent="0.2">
      <c r="A22" t="str">
        <v>September</v>
      </c>
      <c r="B22" s="31">
        <v>69765</v>
      </c>
    </row>
    <row r="23" spans="1:2" x14ac:dyDescent="0.2">
      <c r="A23" t="str">
        <v>October</v>
      </c>
      <c r="B23" s="31">
        <v>65693</v>
      </c>
    </row>
    <row r="24" spans="1:2" x14ac:dyDescent="0.2">
      <c r="A24" t="str">
        <v>November</v>
      </c>
      <c r="B24" s="31">
        <v>64343</v>
      </c>
    </row>
    <row r="25" spans="1:2" x14ac:dyDescent="0.2">
      <c r="A25" t="str">
        <v>December</v>
      </c>
      <c r="B25" s="31">
        <v>69655</v>
      </c>
    </row>
    <row r="26" spans="1:2" x14ac:dyDescent="0.2">
      <c r="A26" t="str">
        <v>January</v>
      </c>
      <c r="B26" s="31">
        <v>70255</v>
      </c>
    </row>
    <row r="27" spans="1:2" x14ac:dyDescent="0.2">
      <c r="A27" t="str">
        <v>February</v>
      </c>
      <c r="B27" s="31">
        <v>64021</v>
      </c>
    </row>
    <row r="28" spans="1:2" x14ac:dyDescent="0.2">
      <c r="A28" t="str">
        <v>March</v>
      </c>
      <c r="B28" s="31">
        <v>63009</v>
      </c>
    </row>
    <row r="29" spans="1:2" x14ac:dyDescent="0.2">
      <c r="A29" t="str">
        <v>April</v>
      </c>
      <c r="B29" s="31">
        <v>65685</v>
      </c>
    </row>
    <row r="30" spans="1:2" x14ac:dyDescent="0.2">
      <c r="A30" t="str">
        <v>May</v>
      </c>
      <c r="B30" s="31">
        <v>65423</v>
      </c>
    </row>
    <row r="31" spans="1:2" x14ac:dyDescent="0.2">
      <c r="A31" t="str">
        <v>June</v>
      </c>
      <c r="B31" s="31">
        <v>67011</v>
      </c>
    </row>
    <row r="32" spans="1:2" x14ac:dyDescent="0.2">
      <c r="A32" t="str">
        <v>July</v>
      </c>
      <c r="B32" s="31">
        <v>69012</v>
      </c>
    </row>
    <row r="33" spans="1:2" x14ac:dyDescent="0.2">
      <c r="A33" t="str">
        <v>August</v>
      </c>
      <c r="B33" s="31">
        <v>69245</v>
      </c>
    </row>
    <row r="34" spans="1:2" x14ac:dyDescent="0.2">
      <c r="A34" t="str">
        <v>September</v>
      </c>
      <c r="B34" s="31">
        <v>69354</v>
      </c>
    </row>
    <row r="35" spans="1:2" x14ac:dyDescent="0.2">
      <c r="A35" t="str">
        <v>October</v>
      </c>
      <c r="B35" s="31">
        <v>64747</v>
      </c>
    </row>
    <row r="36" spans="1:2" x14ac:dyDescent="0.2">
      <c r="A36" t="str">
        <v>November</v>
      </c>
      <c r="B36" s="31">
        <v>63920</v>
      </c>
    </row>
    <row r="37" spans="1:2" x14ac:dyDescent="0.2">
      <c r="A37" t="str">
        <v>December</v>
      </c>
      <c r="B37" s="31">
        <v>70746</v>
      </c>
    </row>
    <row r="38" spans="1:2" x14ac:dyDescent="0.2">
      <c r="A38" t="str">
        <v>January</v>
      </c>
      <c r="B38" s="31">
        <v>73186</v>
      </c>
    </row>
    <row r="39" spans="1:2" x14ac:dyDescent="0.2">
      <c r="A39" t="str">
        <v>February</v>
      </c>
      <c r="B39" s="31">
        <v>68352</v>
      </c>
    </row>
    <row r="40" spans="1:2" x14ac:dyDescent="0.2">
      <c r="A40" t="str">
        <v>March</v>
      </c>
      <c r="B40" s="31">
        <v>69698</v>
      </c>
    </row>
    <row r="41" spans="1:2" x14ac:dyDescent="0.2">
      <c r="A41" t="str">
        <v>April</v>
      </c>
      <c r="B41" s="31">
        <v>71092</v>
      </c>
    </row>
    <row r="42" spans="1:2" x14ac:dyDescent="0.2">
      <c r="A42" t="str">
        <v>May</v>
      </c>
      <c r="B42" s="31">
        <v>72642</v>
      </c>
    </row>
    <row r="43" spans="1:2" x14ac:dyDescent="0.2">
      <c r="A43" t="str">
        <v>June</v>
      </c>
      <c r="B43" s="31">
        <v>74696</v>
      </c>
    </row>
    <row r="44" spans="1:2" x14ac:dyDescent="0.2">
      <c r="A44" t="str">
        <v>July</v>
      </c>
      <c r="B44" s="31">
        <v>74220</v>
      </c>
    </row>
    <row r="45" spans="1:2" x14ac:dyDescent="0.2">
      <c r="A45" t="str">
        <v>August</v>
      </c>
      <c r="B45" s="31">
        <v>71460</v>
      </c>
    </row>
    <row r="46" spans="1:2" x14ac:dyDescent="0.2">
      <c r="A46" t="str">
        <v>September</v>
      </c>
      <c r="B46" s="31">
        <v>70828</v>
      </c>
    </row>
    <row r="47" spans="1:2" x14ac:dyDescent="0.2">
      <c r="A47" t="str">
        <v>October</v>
      </c>
      <c r="B47" s="31">
        <v>64169</v>
      </c>
    </row>
    <row r="48" spans="1:2" x14ac:dyDescent="0.2">
      <c r="A48" t="str">
        <v>November</v>
      </c>
      <c r="B48" s="31">
        <v>64890</v>
      </c>
    </row>
    <row r="49" spans="1:2" x14ac:dyDescent="0.2">
      <c r="A49" t="str">
        <v>December</v>
      </c>
      <c r="B49" s="31">
        <v>73443</v>
      </c>
    </row>
    <row r="50" spans="1:2" x14ac:dyDescent="0.2">
      <c r="A50" t="str">
        <v>January</v>
      </c>
      <c r="B50" s="31">
        <v>75787</v>
      </c>
    </row>
    <row r="51" spans="1:2" x14ac:dyDescent="0.2">
      <c r="A51" t="str">
        <v>February</v>
      </c>
      <c r="B51" s="31">
        <v>69669</v>
      </c>
    </row>
    <row r="52" spans="1:2" x14ac:dyDescent="0.2">
      <c r="A52" t="str">
        <v>March</v>
      </c>
      <c r="B52" s="31">
        <v>72023</v>
      </c>
    </row>
    <row r="53" spans="1:2" x14ac:dyDescent="0.2">
      <c r="A53" t="str">
        <v>April</v>
      </c>
      <c r="B53" s="31">
        <v>75153</v>
      </c>
    </row>
    <row r="54" spans="1:2" x14ac:dyDescent="0.2">
      <c r="A54" t="str">
        <v>May</v>
      </c>
      <c r="B54" s="31">
        <v>76872</v>
      </c>
    </row>
    <row r="55" spans="1:2" x14ac:dyDescent="0.2">
      <c r="A55" t="str">
        <v>June</v>
      </c>
      <c r="B55" s="31">
        <v>76757</v>
      </c>
    </row>
    <row r="56" spans="1:2" x14ac:dyDescent="0.2">
      <c r="A56" t="str">
        <v>July</v>
      </c>
      <c r="B56" s="31">
        <v>75883</v>
      </c>
    </row>
    <row r="57" spans="1:2" x14ac:dyDescent="0.2">
      <c r="A57" t="str">
        <v>August</v>
      </c>
      <c r="B57" s="31">
        <v>74984</v>
      </c>
    </row>
    <row r="58" spans="1:2" x14ac:dyDescent="0.2">
      <c r="A58" t="str">
        <v>September</v>
      </c>
      <c r="B58" s="31">
        <v>72938</v>
      </c>
    </row>
    <row r="59" spans="1:2" x14ac:dyDescent="0.2">
      <c r="A59" t="str">
        <v>October</v>
      </c>
      <c r="B59" s="31">
        <v>65747</v>
      </c>
    </row>
    <row r="60" spans="1:2" x14ac:dyDescent="0.2">
      <c r="A60" t="str">
        <v>November</v>
      </c>
      <c r="B60" s="31">
        <v>65376</v>
      </c>
    </row>
    <row r="61" spans="1:2" x14ac:dyDescent="0.2">
      <c r="A61" t="str">
        <v>December</v>
      </c>
      <c r="B61" s="31">
        <v>76038</v>
      </c>
    </row>
  </sheetData>
  <pageMargins left="0.7" right="0.7" top="0.75" bottom="0.75" header="0.3" footer="0.3"/>
  <pageSetup orientation="portrait" horizontalDpi="0" verticalDpi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5D5AD74A45FD449553BA2F72B0C1B0" ma:contentTypeVersion="2" ma:contentTypeDescription="Create a new document." ma:contentTypeScope="" ma:versionID="3353bd5a36ed81c007a72e36b1fc5cf4">
  <xsd:schema xmlns:xsd="http://www.w3.org/2001/XMLSchema" xmlns:xs="http://www.w3.org/2001/XMLSchema" xmlns:p="http://schemas.microsoft.com/office/2006/metadata/properties" xmlns:ns2="bfb15cfc-2427-4022-bcf9-4020e8da76af" targetNamespace="http://schemas.microsoft.com/office/2006/metadata/properties" ma:root="true" ma:fieldsID="26868be0d0a7598ad65b5501ee5cfbe8" ns2:_="">
    <xsd:import namespace="bfb15cfc-2427-4022-bcf9-4020e8da76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15cfc-2427-4022-bcf9-4020e8da76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6ACD60-F4AD-42A3-91A0-B8EF8F95BF2A}">
  <ds:schemaRefs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schemas.microsoft.com/office/infopath/2007/PartnerControls"/>
    <ds:schemaRef ds:uri="bfb15cfc-2427-4022-bcf9-4020e8da76af"/>
  </ds:schemaRefs>
</ds:datastoreItem>
</file>

<file path=customXml/itemProps2.xml><?xml version="1.0" encoding="utf-8"?>
<ds:datastoreItem xmlns:ds="http://schemas.openxmlformats.org/officeDocument/2006/customXml" ds:itemID="{5F4B11E9-97E0-469A-A4EB-1B9ECFD8A9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b15cfc-2427-4022-bcf9-4020e8da76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57EDECA-F8C2-4DE6-8793-7D540F965A5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Welcome</vt:lpstr>
      <vt:lpstr>Five Year data</vt:lpstr>
      <vt:lpstr>Ontario</vt:lpstr>
      <vt:lpstr>Provincial 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AlexRamirez</dc:creator>
  <cp:lastModifiedBy>Aisha Abdisamad</cp:lastModifiedBy>
  <dcterms:created xsi:type="dcterms:W3CDTF">2018-11-18T15:16:27Z</dcterms:created>
  <dcterms:modified xsi:type="dcterms:W3CDTF">2025-09-11T14:48:25Z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0x010100235D5AD74A45FD449553BA2F72B0C1B0</vt:lpwstr>
  </property>
</Properties>
</file>